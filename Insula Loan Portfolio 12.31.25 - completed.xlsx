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plending.sharepoint.com/sites/BridgePointDeals/Shared Documents/"/>
    </mc:Choice>
  </mc:AlternateContent>
  <xr:revisionPtr revIDLastSave="2669" documentId="8_{4999417F-7BD5-4D61-AA20-4D7A97180279}" xr6:coauthVersionLast="47" xr6:coauthVersionMax="47" xr10:uidLastSave="{EB430C9A-5942-4D77-9A4E-608079F4A0B5}"/>
  <bookViews>
    <workbookView xWindow="-19200" yWindow="2820" windowWidth="19420" windowHeight="10300" tabRatio="500" xr2:uid="{00000000-000D-0000-FFFF-FFFF00000000}"/>
  </bookViews>
  <sheets>
    <sheet name="Loan Detail" sheetId="1" r:id="rId1"/>
  </sheets>
  <definedNames>
    <definedName name="_xlnm._FilterDatabase" localSheetId="0" hidden="1">'Loan Detail'!$A$1:$R$747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20" i="1" l="1"/>
  <c r="P748" i="1"/>
  <c r="O748" i="1"/>
  <c r="L748" i="1"/>
  <c r="K748" i="1"/>
  <c r="J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7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" authorId="0" shapeId="0" xr:uid="{00000000-0006-0000-0000-000001000000}">
      <text>
        <r>
          <rPr>
            <sz val="10"/>
            <rFont val="Arial"/>
            <family val="2"/>
          </rPr>
          <t>Pulled from INS Statement of Account 12/31/25 (Investment Portfolio, Maturity Date), matched on Servicer ID = Loan Account. Blank = loan not on the statement.</t>
        </r>
      </text>
    </comment>
  </commentList>
</comments>
</file>

<file path=xl/sharedStrings.xml><?xml version="1.0" encoding="utf-8"?>
<sst xmlns="http://schemas.openxmlformats.org/spreadsheetml/2006/main" count="3003" uniqueCount="2255">
  <si>
    <t>Report Section</t>
  </si>
  <si>
    <t>Servicer ID</t>
  </si>
  <si>
    <t>Roc ID</t>
  </si>
  <si>
    <t>Description</t>
  </si>
  <si>
    <t>Closing Date</t>
  </si>
  <si>
    <t>Maturity Date</t>
  </si>
  <si>
    <t>Subordination %</t>
  </si>
  <si>
    <t>Loan Amount</t>
  </si>
  <si>
    <t>Funded Amount</t>
  </si>
  <si>
    <t>Remaining Amount</t>
  </si>
  <si>
    <t>% Funded</t>
  </si>
  <si>
    <t>Draws</t>
  </si>
  <si>
    <t>Unpaid Interest</t>
  </si>
  <si>
    <t>Pmt to P&amp;I</t>
  </si>
  <si>
    <t>Next Due Date</t>
  </si>
  <si>
    <t>Insula Funded Amount</t>
  </si>
  <si>
    <t>Active Residential</t>
  </si>
  <si>
    <t>0010005669</t>
  </si>
  <si>
    <t>5669</t>
  </si>
  <si>
    <t>Phillips Phillips - 220 Atlantic Avenue (NY)</t>
  </si>
  <si>
    <t>0010019365</t>
  </si>
  <si>
    <t>19365</t>
  </si>
  <si>
    <t>Jaurez - 230 Harvard Street (NY)</t>
  </si>
  <si>
    <t>0010024339</t>
  </si>
  <si>
    <t>24339</t>
  </si>
  <si>
    <t>Carrasco Uribe Carranza-Ledesma - 390 Atlantic Street (NY)</t>
  </si>
  <si>
    <t>0010027460</t>
  </si>
  <si>
    <t>27460</t>
  </si>
  <si>
    <t>Castillo Carias - 140 Harvard Street (NY)</t>
  </si>
  <si>
    <t>0010032475</t>
  </si>
  <si>
    <t>32475</t>
  </si>
  <si>
    <t>Gomez - 63 Dosoris Way (NY)</t>
  </si>
  <si>
    <t>0010032049</t>
  </si>
  <si>
    <t>32049</t>
  </si>
  <si>
    <t>Revolus Revolus - 2916 Poplar Street (PA)</t>
  </si>
  <si>
    <t>0010034734</t>
  </si>
  <si>
    <t>34734</t>
  </si>
  <si>
    <t>Barclay - 237 Saint James Place (NY)</t>
  </si>
  <si>
    <t>0010039205</t>
  </si>
  <si>
    <t>39205</t>
  </si>
  <si>
    <t>Singh - 43 Bennett Avenue (MD)</t>
  </si>
  <si>
    <t>0010038940</t>
  </si>
  <si>
    <t>38940</t>
  </si>
  <si>
    <t>Mejia - 77 Floral Parkway (NY)</t>
  </si>
  <si>
    <t>0010040782</t>
  </si>
  <si>
    <t>40782</t>
  </si>
  <si>
    <t>Panebianco Pozdniakov - 80 Springville Road (NY)</t>
  </si>
  <si>
    <t>0010043219</t>
  </si>
  <si>
    <t>43219</t>
  </si>
  <si>
    <t>Evora - 91 Clinton Avenue (NY)/89 Clinton Avenue (NY)/87 Clinton Avenue (NY)/85 Clinton Avenue (NY)</t>
  </si>
  <si>
    <t>0010043788</t>
  </si>
  <si>
    <t>43788</t>
  </si>
  <si>
    <t>Gomez Franco - 1304 Express Drive South (NY)</t>
  </si>
  <si>
    <t>0010041228</t>
  </si>
  <si>
    <t>41228</t>
  </si>
  <si>
    <t>Parray - 34 Wisconsin Avenue (NY)</t>
  </si>
  <si>
    <t>0010046101</t>
  </si>
  <si>
    <t>46101</t>
  </si>
  <si>
    <t>Singh - 5514 Waterloo Road (MD)</t>
  </si>
  <si>
    <t>0010041204</t>
  </si>
  <si>
    <t>41204</t>
  </si>
  <si>
    <t>Parray - 171 Ferraris Street (NY)</t>
  </si>
  <si>
    <t>0010050108</t>
  </si>
  <si>
    <t>50108</t>
  </si>
  <si>
    <t>Sciascia - 16181 Coco Hammock Way (FL)</t>
  </si>
  <si>
    <t>0010050118</t>
  </si>
  <si>
    <t>50118</t>
  </si>
  <si>
    <t>Sciascia - 11105 Sea Tropic Lane (FL)</t>
  </si>
  <si>
    <t>0010051524</t>
  </si>
  <si>
    <t>51524</t>
  </si>
  <si>
    <t>Segura - 5892 Northwest 65th Terrace (FL)</t>
  </si>
  <si>
    <t>0010052365</t>
  </si>
  <si>
    <t>52365</t>
  </si>
  <si>
    <t>Sciascia - 727 Granada Drive (FL)</t>
  </si>
  <si>
    <t>0010053347</t>
  </si>
  <si>
    <t>53347</t>
  </si>
  <si>
    <t>Balkonis - 120 Arredondo Avenue (FL)</t>
  </si>
  <si>
    <t>0010050556</t>
  </si>
  <si>
    <t>50556</t>
  </si>
  <si>
    <t>Brown Becton - 6618 South Rhodes Avenue (IL)</t>
  </si>
  <si>
    <t>0010055144</t>
  </si>
  <si>
    <t>55144</t>
  </si>
  <si>
    <t>Horowitz Goldstein Goldstein - 33 Broome Street (NY)</t>
  </si>
  <si>
    <t>0010055608</t>
  </si>
  <si>
    <t>55608</t>
  </si>
  <si>
    <t>Johnson - 30 South Bleeker Street (NY)</t>
  </si>
  <si>
    <t>0010058391</t>
  </si>
  <si>
    <t>58391</t>
  </si>
  <si>
    <t>Nabiryo - 155 Old Swede Road (PA)</t>
  </si>
  <si>
    <t>0010058033</t>
  </si>
  <si>
    <t>58033</t>
  </si>
  <si>
    <t>Sigera - 4832 46th Street Northwest (DC)</t>
  </si>
  <si>
    <t>0010058183</t>
  </si>
  <si>
    <t>58183</t>
  </si>
  <si>
    <t>Gomez - 16 Park Avenue (CT)</t>
  </si>
  <si>
    <t>0010058819</t>
  </si>
  <si>
    <t>58819</t>
  </si>
  <si>
    <t>Awad Awad - 301 North Monroe Street (PA)</t>
  </si>
  <si>
    <t>0010060988</t>
  </si>
  <si>
    <t>60988</t>
  </si>
  <si>
    <t>Sciascia - 3127 Fernwood Drive (FL)</t>
  </si>
  <si>
    <t>0001063884</t>
  </si>
  <si>
    <t>63884</t>
  </si>
  <si>
    <t>Boudon - 48 Martin Lane (NY)</t>
  </si>
  <si>
    <t>0010061067</t>
  </si>
  <si>
    <t>61067</t>
  </si>
  <si>
    <t>Bryant - 1304 Manhattan Street (IN)</t>
  </si>
  <si>
    <t>0001063947</t>
  </si>
  <si>
    <t>63947</t>
  </si>
  <si>
    <t>Ramos De Souza - 1510 Mims Street Southwest (GA)</t>
  </si>
  <si>
    <t>0001064120</t>
  </si>
  <si>
    <t>64120</t>
  </si>
  <si>
    <t>Boudon - 568 Caledonia Rd (NY)</t>
  </si>
  <si>
    <t>0001065705</t>
  </si>
  <si>
    <t>65705</t>
  </si>
  <si>
    <t>Shah Castro - 1219 Decatur Street (NY)</t>
  </si>
  <si>
    <t>0001069762</t>
  </si>
  <si>
    <t>69762</t>
  </si>
  <si>
    <t>Samsair - 111-57 145th St (NY)</t>
  </si>
  <si>
    <t>0001068638</t>
  </si>
  <si>
    <t>68638</t>
  </si>
  <si>
    <t>Nicks - 209 Fern Drive (GA)</t>
  </si>
  <si>
    <t>0001071062</t>
  </si>
  <si>
    <t>71062</t>
  </si>
  <si>
    <t>Recchio Williams - 731 Southwest 28th Avenue (FL)</t>
  </si>
  <si>
    <t>0001071128</t>
  </si>
  <si>
    <t>71128</t>
  </si>
  <si>
    <t>Garrett Sigera - 5205 5th Street Northwest (DC)</t>
  </si>
  <si>
    <t>0001071111</t>
  </si>
  <si>
    <t>71111</t>
  </si>
  <si>
    <t>Sigera Garrett - 810 Madison Street Northwest (DC)</t>
  </si>
  <si>
    <t>0001073882</t>
  </si>
  <si>
    <t>73882</t>
  </si>
  <si>
    <t>Arce - 1336 Hillyer Avenue (GA)</t>
  </si>
  <si>
    <t>0001068641</t>
  </si>
  <si>
    <t>68641</t>
  </si>
  <si>
    <t>Westerband - 124 Central Parkway (NY)</t>
  </si>
  <si>
    <t>0001074267</t>
  </si>
  <si>
    <t>74267</t>
  </si>
  <si>
    <t>Jaggi - 14 Lakeville Drive (NY)</t>
  </si>
  <si>
    <t>0001074240</t>
  </si>
  <si>
    <t>74240</t>
  </si>
  <si>
    <t>Jaggi - 577 Northeast 74th Street (FL)</t>
  </si>
  <si>
    <t>0001074612</t>
  </si>
  <si>
    <t>74612</t>
  </si>
  <si>
    <t>Kelley-Rimovsky Rimovsky - 554 Essex Street (TX)</t>
  </si>
  <si>
    <t>0001075424</t>
  </si>
  <si>
    <t>75424</t>
  </si>
  <si>
    <t>Brown - 1313 Spruce Street (PA)/1314 Walnut Street (PA)</t>
  </si>
  <si>
    <t>0001074321</t>
  </si>
  <si>
    <t>74321</t>
  </si>
  <si>
    <t>Klein - Lot 091 West Lake Road</t>
  </si>
  <si>
    <t>0001072713</t>
  </si>
  <si>
    <t>72713</t>
  </si>
  <si>
    <t>(NY)/2890 West Lake Road (NY) Navarro - 240 North Ocean Avenue (NY)</t>
  </si>
  <si>
    <t>0001077915</t>
  </si>
  <si>
    <t>77915</t>
  </si>
  <si>
    <t>Jaggi - 118 Ryder Avenue (NY)</t>
  </si>
  <si>
    <t>0001075016</t>
  </si>
  <si>
    <t>75016</t>
  </si>
  <si>
    <t>Sandjaby - 12 Plume Grass Way (NY)</t>
  </si>
  <si>
    <t>0001079388</t>
  </si>
  <si>
    <t>79388</t>
  </si>
  <si>
    <t>Jaggi - 460 Jefferson Street (NY)</t>
  </si>
  <si>
    <t>0001066634</t>
  </si>
  <si>
    <t>66634</t>
  </si>
  <si>
    <t>Retzos - 229 Elm Street Northwest (DC)</t>
  </si>
  <si>
    <t>0001079603</t>
  </si>
  <si>
    <t>79603</t>
  </si>
  <si>
    <t>Jaggi - 76 Abbey Lane (NY)</t>
  </si>
  <si>
    <t>0001079571</t>
  </si>
  <si>
    <t>79571</t>
  </si>
  <si>
    <t>Sher - 47 Yuma Lane (NY)</t>
  </si>
  <si>
    <t>0001078276</t>
  </si>
  <si>
    <t>78276</t>
  </si>
  <si>
    <t>Sigera - 4516 Georgia Avenue Northwest (DC)</t>
  </si>
  <si>
    <t>0001079599</t>
  </si>
  <si>
    <t>79599</t>
  </si>
  <si>
    <t>Mejia - 160 Holly Avenue (NY)</t>
  </si>
  <si>
    <t>0001081649</t>
  </si>
  <si>
    <t>81649</t>
  </si>
  <si>
    <t>Cowart - 18300 Sorrento Avenue (MI)</t>
  </si>
  <si>
    <t>0001077862</t>
  </si>
  <si>
    <t>77862</t>
  </si>
  <si>
    <t>Kandinov - 254 Hampton Street (NY)</t>
  </si>
  <si>
    <t>0001082404</t>
  </si>
  <si>
    <t>82404</t>
  </si>
  <si>
    <t>Patton McKinney - 912 Southeast 13th Street (TX)</t>
  </si>
  <si>
    <t>0001083195</t>
  </si>
  <si>
    <t>83195</t>
  </si>
  <si>
    <t>McKinney Patton - 514 Northeast 6th Avenue (TX)</t>
  </si>
  <si>
    <t>0001083420</t>
  </si>
  <si>
    <t>83420</t>
  </si>
  <si>
    <t>Sher - 2675 Bellmore Ave (NY)</t>
  </si>
  <si>
    <t>0001084606</t>
  </si>
  <si>
    <t>84606</t>
  </si>
  <si>
    <t>Mays - 2980 Cortland Street (MI)</t>
  </si>
  <si>
    <t>0001085459</t>
  </si>
  <si>
    <t>85459</t>
  </si>
  <si>
    <t>Arce - 1358 2nd Street (GA)</t>
  </si>
  <si>
    <t>0001087937</t>
  </si>
  <si>
    <t>87937</t>
  </si>
  <si>
    <t>Duvernay - 6860</t>
  </si>
  <si>
    <t>0001090124</t>
  </si>
  <si>
    <t>90124</t>
  </si>
  <si>
    <t>Niazi - 1093 Westminster Ave (NY)</t>
  </si>
  <si>
    <t>0001089607</t>
  </si>
  <si>
    <t>89607</t>
  </si>
  <si>
    <t>Hensley Brissette - 1136 4th Avenue West (AL)</t>
  </si>
  <si>
    <t>0001089605</t>
  </si>
  <si>
    <t>89605</t>
  </si>
  <si>
    <t>Hensley Brissette - 1132 4th Avenue West (AL)</t>
  </si>
  <si>
    <t>0001089604</t>
  </si>
  <si>
    <t>89604</t>
  </si>
  <si>
    <t>Hensley Brissette - 1128 4th Avenue West (AL)</t>
  </si>
  <si>
    <t>0001089603</t>
  </si>
  <si>
    <t>89603</t>
  </si>
  <si>
    <t>Hensley Brissette - 1124 4th Avenue West (AL)</t>
  </si>
  <si>
    <t>0001089609</t>
  </si>
  <si>
    <t>89609</t>
  </si>
  <si>
    <t>Hensley Brissette - 1140 4th Avenue West (AL)</t>
  </si>
  <si>
    <t>0001088172</t>
  </si>
  <si>
    <t>88172</t>
  </si>
  <si>
    <t>Claro-Tinoco - 6 Renee Court (NY)</t>
  </si>
  <si>
    <t>0001091892</t>
  </si>
  <si>
    <t>91892</t>
  </si>
  <si>
    <t>Woodland - 466 North McNeil Street (TN)</t>
  </si>
  <si>
    <t>0001092138</t>
  </si>
  <si>
    <t>92138</t>
  </si>
  <si>
    <t>Demiraj Rugova - 125 Liberty Street (CT)</t>
  </si>
  <si>
    <t>0001090179</t>
  </si>
  <si>
    <t>90179</t>
  </si>
  <si>
    <t>Kelly - 36 Pine Avenue (NY)</t>
  </si>
  <si>
    <t>1111093918</t>
  </si>
  <si>
    <t>93918</t>
  </si>
  <si>
    <t>Cullum - 8715 Jennings Station Road (MO)</t>
  </si>
  <si>
    <t>1111093902</t>
  </si>
  <si>
    <t>93902</t>
  </si>
  <si>
    <t>Cooper - 123 Willoughby Ave (NY)</t>
  </si>
  <si>
    <t>1111093708</t>
  </si>
  <si>
    <t>93708</t>
  </si>
  <si>
    <t>Matthews - 1427 West Wyoming Avenue (PA)</t>
  </si>
  <si>
    <t>1111094738</t>
  </si>
  <si>
    <t>94738</t>
  </si>
  <si>
    <t>Sanchez Carranza- Ledesma - 1 Parkhill Court (NY)</t>
  </si>
  <si>
    <t>1111093463</t>
  </si>
  <si>
    <t>93463</t>
  </si>
  <si>
    <t>Burton - 2375 Browns Mill Road Southeast (GA)</t>
  </si>
  <si>
    <t>1111094722</t>
  </si>
  <si>
    <t>94722</t>
  </si>
  <si>
    <t>Guzman Toledo - 1 Lynnwood Court (NY)</t>
  </si>
  <si>
    <t>1111093547</t>
  </si>
  <si>
    <t>93547</t>
  </si>
  <si>
    <t>Galdamez - 184 Grenada Avenue (NY)</t>
  </si>
  <si>
    <t>1111092893</t>
  </si>
  <si>
    <t>92893</t>
  </si>
  <si>
    <t>WHALEN - 768 Bridgehampton-Sag Harbor Turnpike (NY)</t>
  </si>
  <si>
    <t>1111096235</t>
  </si>
  <si>
    <t>96235</t>
  </si>
  <si>
    <t>Zhou - 45-47 Durand Place (NJ)</t>
  </si>
  <si>
    <t>1111093640</t>
  </si>
  <si>
    <t>93640</t>
  </si>
  <si>
    <t>Iadevaio Hecht Hecht Hock - 160 South Centre Avenue (NY)</t>
  </si>
  <si>
    <t>1111096634</t>
  </si>
  <si>
    <t>96634</t>
  </si>
  <si>
    <t>Singh Singh - 19 Arrow Lane (NY)</t>
  </si>
  <si>
    <t>1111096181</t>
  </si>
  <si>
    <t>96181</t>
  </si>
  <si>
    <t>Barbera Silsbe - 4109 Tideview Drive (FL)</t>
  </si>
  <si>
    <t>1111095797</t>
  </si>
  <si>
    <t>95797</t>
  </si>
  <si>
    <t>Fuentes - 177 15th Street (NY)</t>
  </si>
  <si>
    <t>1111083456</t>
  </si>
  <si>
    <t>83456</t>
  </si>
  <si>
    <t>Constantino - 1436 South East 14th St (FL)</t>
  </si>
  <si>
    <t>1111097780</t>
  </si>
  <si>
    <t>97780</t>
  </si>
  <si>
    <t>Ladd - 20-22 Baldwin Avenue (NY)</t>
  </si>
  <si>
    <t>1111097635</t>
  </si>
  <si>
    <t>97635</t>
  </si>
  <si>
    <t>Guzman Toledo - 3A Suffolk Road (NY)</t>
  </si>
  <si>
    <t>1111099125</t>
  </si>
  <si>
    <t>99125</t>
  </si>
  <si>
    <t>Shah - 530 Washington Avenue (NY)</t>
  </si>
  <si>
    <t>1111098722</t>
  </si>
  <si>
    <t>98722</t>
  </si>
  <si>
    <t>Espinoza - 2226 Seevers Avenue (TX)</t>
  </si>
  <si>
    <t>1111094996</t>
  </si>
  <si>
    <t>94996</t>
  </si>
  <si>
    <t>Khamsopa - 25 Grand Street (NY)</t>
  </si>
  <si>
    <t>1111091815</t>
  </si>
  <si>
    <t>91815</t>
  </si>
  <si>
    <t>Singh - 344 Logan Street (NY)</t>
  </si>
  <si>
    <t>1111099146</t>
  </si>
  <si>
    <t>99146</t>
  </si>
  <si>
    <t>Bhasin - 369 Quinnipiac Avenue (CT)</t>
  </si>
  <si>
    <t>1111098018</t>
  </si>
  <si>
    <t>98018</t>
  </si>
  <si>
    <t>Gera - 2460 Centre Avenue (NY)</t>
  </si>
  <si>
    <t>1111097118</t>
  </si>
  <si>
    <t>97118</t>
  </si>
  <si>
    <t>Vaughn - 610 5th Street (TX)</t>
  </si>
  <si>
    <t>1111099428</t>
  </si>
  <si>
    <t>99428</t>
  </si>
  <si>
    <t>Restrepo Garcia</t>
  </si>
  <si>
    <t>1111099187</t>
  </si>
  <si>
    <t>99187</t>
  </si>
  <si>
    <t>Mata Roa - 74 Lincoln Avenue (NY) Shah - 1473 Hicks Street (NY)</t>
  </si>
  <si>
    <t>1111099289</t>
  </si>
  <si>
    <t>99289</t>
  </si>
  <si>
    <t>Shah - 532 Washington Ave (NY)</t>
  </si>
  <si>
    <t>1111099089</t>
  </si>
  <si>
    <t>99089</t>
  </si>
  <si>
    <t>Hunter - 33 Harborview Drive (NY)</t>
  </si>
  <si>
    <t>1111100477</t>
  </si>
  <si>
    <t>100477</t>
  </si>
  <si>
    <t>Samuels Samuels - 12 Deans Lane (NY)</t>
  </si>
  <si>
    <t>1111090337</t>
  </si>
  <si>
    <t>90337</t>
  </si>
  <si>
    <t>Chery - 115-46 220th Street (NY)</t>
  </si>
  <si>
    <t>1111093891</t>
  </si>
  <si>
    <t>93891</t>
  </si>
  <si>
    <t>Santiago - 144 West Schwab Ave (PA)</t>
  </si>
  <si>
    <t>1111101504</t>
  </si>
  <si>
    <t>101504</t>
  </si>
  <si>
    <t>Pelissier Sifuentes - 10 Plateau Avenue (NJ)</t>
  </si>
  <si>
    <t>1111101221</t>
  </si>
  <si>
    <t>101221</t>
  </si>
  <si>
    <t>Singh - 2 Pinecone Lane (NY)</t>
  </si>
  <si>
    <t>1111101988</t>
  </si>
  <si>
    <t>101988</t>
  </si>
  <si>
    <t>Samuels - 240 Franklin Avenue (NY)</t>
  </si>
  <si>
    <t>1111100812</t>
  </si>
  <si>
    <t>100812</t>
  </si>
  <si>
    <t>Anand - 4 Woods End Road South (NY)</t>
  </si>
  <si>
    <t>1111103072</t>
  </si>
  <si>
    <t>103072</t>
  </si>
  <si>
    <t>Syed Stock Stock Tomczyk Fazio - 6211 Coleridge Avenue (OH)</t>
  </si>
  <si>
    <t>1111099848</t>
  </si>
  <si>
    <t>99848</t>
  </si>
  <si>
    <t>Cuchilla Alvarado - 55 Arthur Street (NY)</t>
  </si>
  <si>
    <t>1111102772</t>
  </si>
  <si>
    <t>102772</t>
  </si>
  <si>
    <t>Iglesias - 3010 Falcon Avenue (NY)</t>
  </si>
  <si>
    <t>1111101717</t>
  </si>
  <si>
    <t>101717</t>
  </si>
  <si>
    <t>Shabbir - 66 Warner Ave (NY)</t>
  </si>
  <si>
    <t>1111103672</t>
  </si>
  <si>
    <t>103672</t>
  </si>
  <si>
    <t>Lara Lara - 547 Taylor Avenue (NY)</t>
  </si>
  <si>
    <t>1111103572</t>
  </si>
  <si>
    <t>103572</t>
  </si>
  <si>
    <t>Gonsalves - 79 E High Street (PA)</t>
  </si>
  <si>
    <t>1111105292</t>
  </si>
  <si>
    <t>105292</t>
  </si>
  <si>
    <t>Molina - 57-10 84th Street (NY)</t>
  </si>
  <si>
    <t>1111105525</t>
  </si>
  <si>
    <t>105525</t>
  </si>
  <si>
    <t>Ochoa Cedillo - 4322 249th Street (NY)</t>
  </si>
  <si>
    <t>1111105587</t>
  </si>
  <si>
    <t>105587</t>
  </si>
  <si>
    <t>Barbera Silsbe - 609 Calhoun Avenue (FL)</t>
  </si>
  <si>
    <t>1111101785</t>
  </si>
  <si>
    <t>101785</t>
  </si>
  <si>
    <t>Garcia - 1138 Helen Avenue South (FL)</t>
  </si>
  <si>
    <t>1111103281</t>
  </si>
  <si>
    <t>103281</t>
  </si>
  <si>
    <t>Garcia - 1136 Helen Avenue South (FL)</t>
  </si>
  <si>
    <t>1111101782</t>
  </si>
  <si>
    <t>101782</t>
  </si>
  <si>
    <t>Garcia - 1203 Cellini Street East (FL)</t>
  </si>
  <si>
    <t>1111106406</t>
  </si>
  <si>
    <t>106406</t>
  </si>
  <si>
    <t>Bain Shell Phillips - 4964 35th Street North (VA)</t>
  </si>
  <si>
    <t>1111106335</t>
  </si>
  <si>
    <t>106335</t>
  </si>
  <si>
    <t>Mena Lora - 72 Woodside Avenue (NY)</t>
  </si>
  <si>
    <t>1111108098</t>
  </si>
  <si>
    <t>108098</t>
  </si>
  <si>
    <t>Sommer - 109 Carol Place (NJ)</t>
  </si>
  <si>
    <t>1111106187</t>
  </si>
  <si>
    <t>106187</t>
  </si>
  <si>
    <t>Rodriguez - 66 Delafield Street (NY)</t>
  </si>
  <si>
    <t>1111105388</t>
  </si>
  <si>
    <t>105388</t>
  </si>
  <si>
    <t>Regalado - 681 South Orlando Avenue (FL)</t>
  </si>
  <si>
    <t>1111106337</t>
  </si>
  <si>
    <t>106337</t>
  </si>
  <si>
    <t>Fusco - 14 Christine Court (NY)</t>
  </si>
  <si>
    <t>1111107141</t>
  </si>
  <si>
    <t>107141</t>
  </si>
  <si>
    <t>Phillips - 14 Saint Paul Avenue (MD)</t>
  </si>
  <si>
    <t>1111109694</t>
  </si>
  <si>
    <t>109694</t>
  </si>
  <si>
    <t>Hurd - 1427 West 58th Street (OH)</t>
  </si>
  <si>
    <t>1111107240</t>
  </si>
  <si>
    <t>107240</t>
  </si>
  <si>
    <t>Brown - 207 Boyden Street (NY)</t>
  </si>
  <si>
    <t>1111105636</t>
  </si>
  <si>
    <t>105636</t>
  </si>
  <si>
    <t>Rivera - 1000 West ave (NY)</t>
  </si>
  <si>
    <t>1111110296</t>
  </si>
  <si>
    <t>110296</t>
  </si>
  <si>
    <t>MULTANI - 73 Midwood Avenue (NY)</t>
  </si>
  <si>
    <t>1111109506</t>
  </si>
  <si>
    <t>109506</t>
  </si>
  <si>
    <t>Cheng - 4042 North Kenneth Avenue (IL)</t>
  </si>
  <si>
    <t>1111110294</t>
  </si>
  <si>
    <t>110294</t>
  </si>
  <si>
    <t>MULTANI - 48 Sperry Court (NY)</t>
  </si>
  <si>
    <t>1111109062</t>
  </si>
  <si>
    <t>109062</t>
  </si>
  <si>
    <t>Lafontaine - 14 Freemont Road (NY)</t>
  </si>
  <si>
    <t>1111110609</t>
  </si>
  <si>
    <t>110609</t>
  </si>
  <si>
    <t>Geneve - 295 Cuba Hill Road (NY)</t>
  </si>
  <si>
    <t>1111111728</t>
  </si>
  <si>
    <t>111728</t>
  </si>
  <si>
    <t>Singh Singh Rajpal - 143 Farmedge</t>
  </si>
  <si>
    <t>1111100579</t>
  </si>
  <si>
    <t>100579</t>
  </si>
  <si>
    <t>Road (NY) Burko Iadevaio - 1514 Prospect Avenue (NY)</t>
  </si>
  <si>
    <t>1111107828</t>
  </si>
  <si>
    <t>107828</t>
  </si>
  <si>
    <t>Hurd - 1438 Elbur Avenue (OH)</t>
  </si>
  <si>
    <t>1111110963</t>
  </si>
  <si>
    <t>110963</t>
  </si>
  <si>
    <t>Garcia Garcia - 1078 Woodfield Road (NY)</t>
  </si>
  <si>
    <t>1111113735</t>
  </si>
  <si>
    <t>113735</t>
  </si>
  <si>
    <t>MULTANI - 8 Woodhaven Place (NY)</t>
  </si>
  <si>
    <t>1111113477</t>
  </si>
  <si>
    <t>113477</t>
  </si>
  <si>
    <t>Bhasin - 82-88 South Water Street (CT)</t>
  </si>
  <si>
    <t>1111113891</t>
  </si>
  <si>
    <t>113891</t>
  </si>
  <si>
    <t>Guerrero - 1126 Plymouth Street (MA)</t>
  </si>
  <si>
    <t>1111112672</t>
  </si>
  <si>
    <t>112672</t>
  </si>
  <si>
    <t>Carrillo Rosales - 1248 West 33rd Street (IN)</t>
  </si>
  <si>
    <t>1111113727</t>
  </si>
  <si>
    <t>113727</t>
  </si>
  <si>
    <t>Williams Bal - 2303 Pine Street (NY)</t>
  </si>
  <si>
    <t>1111114031</t>
  </si>
  <si>
    <t>114031</t>
  </si>
  <si>
    <t>Martz - 126 North Lane (PA)</t>
  </si>
  <si>
    <t>1111112761</t>
  </si>
  <si>
    <t>112761</t>
  </si>
  <si>
    <t>Ramos Cochran - 337 Camino Del Oro (NM)</t>
  </si>
  <si>
    <t>1111113900</t>
  </si>
  <si>
    <t>113900</t>
  </si>
  <si>
    <t>Charles Charles Charles - 982 Pebble Ave NE (FL)</t>
  </si>
  <si>
    <t>1111113874</t>
  </si>
  <si>
    <t>113874</t>
  </si>
  <si>
    <t>Andreoli - 14 Blydenburgh Avenue (NY)</t>
  </si>
  <si>
    <t>1111111514</t>
  </si>
  <si>
    <t>111514</t>
  </si>
  <si>
    <t>Propel - 30 Kron Avenue (NY)</t>
  </si>
  <si>
    <t>1111115316</t>
  </si>
  <si>
    <t>115316</t>
  </si>
  <si>
    <t>Romero - 57-18 Hewlett Street (NY)</t>
  </si>
  <si>
    <t>1111114099</t>
  </si>
  <si>
    <t>114099</t>
  </si>
  <si>
    <t>Yum - 116 Southern Boulevard (NY)</t>
  </si>
  <si>
    <t>1111115025</t>
  </si>
  <si>
    <t>115025</t>
  </si>
  <si>
    <t>Estrada - 39 Layton Street (NY)</t>
  </si>
  <si>
    <t>1111113310</t>
  </si>
  <si>
    <t>113310</t>
  </si>
  <si>
    <t>Estrada - 20 Lehigh Avenue (NY)</t>
  </si>
  <si>
    <t>1111115130</t>
  </si>
  <si>
    <t>115130</t>
  </si>
  <si>
    <t>Street (NY) Nunez - 38 Lafayette Drive (NY)</t>
  </si>
  <si>
    <t>1111115360</t>
  </si>
  <si>
    <t>115360</t>
  </si>
  <si>
    <t>Makkawi Makkawi - 1076 Chapel Road (PA)</t>
  </si>
  <si>
    <t>1111110396</t>
  </si>
  <si>
    <t>110396</t>
  </si>
  <si>
    <t>Mancini - 730 Remsens Lane (NY)</t>
  </si>
  <si>
    <t>1111115247</t>
  </si>
  <si>
    <t>115247</t>
  </si>
  <si>
    <t>Mendoza - 6 Joseph Francis Boulevard (NY)</t>
  </si>
  <si>
    <t>1111115056</t>
  </si>
  <si>
    <t>115056</t>
  </si>
  <si>
    <t>Mata-Sandoval - 89 Circuit Road (NY)</t>
  </si>
  <si>
    <t>1111116114</t>
  </si>
  <si>
    <t>116114</t>
  </si>
  <si>
    <t>harp Rivera - 717 Hendrix Street (NY)</t>
  </si>
  <si>
    <t>1111115665</t>
  </si>
  <si>
    <t>115665</t>
  </si>
  <si>
    <t>Kenny - 3 Vine Court (NY)</t>
  </si>
  <si>
    <t>1111116526</t>
  </si>
  <si>
    <t>116526</t>
  </si>
  <si>
    <t>Keach - 5000 Torrington Ave (OH)</t>
  </si>
  <si>
    <t>1111113324</t>
  </si>
  <si>
    <t>113324</t>
  </si>
  <si>
    <t>Chaudhry - 78 Roslyn Street (NY)</t>
  </si>
  <si>
    <t>1111115105</t>
  </si>
  <si>
    <t>115105</t>
  </si>
  <si>
    <t>Keach - 4302 Woodbridge Avenue (OH)</t>
  </si>
  <si>
    <t>1111105533</t>
  </si>
  <si>
    <t>105533</t>
  </si>
  <si>
    <t>Shlakman - 133-10 149th Street (NY)</t>
  </si>
  <si>
    <t>1111115049</t>
  </si>
  <si>
    <t>115049</t>
  </si>
  <si>
    <t>Mata-Sandoval - 3935 Sally Lane (NY)</t>
  </si>
  <si>
    <t>1111116293</t>
  </si>
  <si>
    <t>116293</t>
  </si>
  <si>
    <t>Arab Arab - 1007 Tiane Trail (TN)</t>
  </si>
  <si>
    <t>1111116788</t>
  </si>
  <si>
    <t>116788</t>
  </si>
  <si>
    <t>KAUR Singh - 146 Springtime Lane West (NY)</t>
  </si>
  <si>
    <t>1111117315</t>
  </si>
  <si>
    <t>117315</t>
  </si>
  <si>
    <t>Campos Goldstein Lee - 1529 West Westmoreland Street (PA)/1527 West Westmoreland Street (PA)</t>
  </si>
  <si>
    <t>1111117678</t>
  </si>
  <si>
    <t>117678</t>
  </si>
  <si>
    <t>Brincat Santiago - 425 North Cherry Street (MO)</t>
  </si>
  <si>
    <t>1111116938</t>
  </si>
  <si>
    <t>116938</t>
  </si>
  <si>
    <t>Siffert Egan - 66 Lighthouse Road (NY)</t>
  </si>
  <si>
    <t>1111118337</t>
  </si>
  <si>
    <t>118337</t>
  </si>
  <si>
    <t>Singh - 3 Snapdragon Lane (NY)</t>
  </si>
  <si>
    <t>1111117485</t>
  </si>
  <si>
    <t>117485</t>
  </si>
  <si>
    <t>Campos - 18 Hitchcock Lane (NY)</t>
  </si>
  <si>
    <t>1111118811</t>
  </si>
  <si>
    <t>118811</t>
  </si>
  <si>
    <t>Shemyakin</t>
  </si>
  <si>
    <t>1111117679</t>
  </si>
  <si>
    <t>117679</t>
  </si>
  <si>
    <t>Shalamberidze - 24 Faith Lane (NY)</t>
  </si>
  <si>
    <t>1111119029</t>
  </si>
  <si>
    <t>119029</t>
  </si>
  <si>
    <t>Kelly - 1 Colonels Path (NY)</t>
  </si>
  <si>
    <t>1111118930</t>
  </si>
  <si>
    <t>118930</t>
  </si>
  <si>
    <t>Patton - 5960 McKaskle Dr (TX)</t>
  </si>
  <si>
    <t>1111118999</t>
  </si>
  <si>
    <t>118999</t>
  </si>
  <si>
    <t>Lo Russo Regina - 56 Pennaquid Road (NY)</t>
  </si>
  <si>
    <t>1111117174</t>
  </si>
  <si>
    <t>117174</t>
  </si>
  <si>
    <t>Carrillo - 3420 East 25th Street (IN)</t>
  </si>
  <si>
    <t>1111116825</t>
  </si>
  <si>
    <t>116825</t>
  </si>
  <si>
    <t>Garcia Ribera - 32 Pearl Road (NY)</t>
  </si>
  <si>
    <t>1111113917</t>
  </si>
  <si>
    <t>113917</t>
  </si>
  <si>
    <t>Sakkal - 1111 Van Buren Place (NY)</t>
  </si>
  <si>
    <t>1111119175</t>
  </si>
  <si>
    <t>119175</t>
  </si>
  <si>
    <t>Sleeba - 7 Sterling rd (NY)</t>
  </si>
  <si>
    <t>1111117093</t>
  </si>
  <si>
    <t>117093</t>
  </si>
  <si>
    <t>Sleeba - 5 2nd Place (NY)</t>
  </si>
  <si>
    <t>1111114650</t>
  </si>
  <si>
    <t>114650</t>
  </si>
  <si>
    <t>Egan Siffert - 80 Oak Road (NY)</t>
  </si>
  <si>
    <t>1111116308</t>
  </si>
  <si>
    <t>116308</t>
  </si>
  <si>
    <t>Pacheco - 340 Half Mile Road (NY)</t>
  </si>
  <si>
    <t>1111118774</t>
  </si>
  <si>
    <t>118774</t>
  </si>
  <si>
    <t>Gomez Arguello Camacho Giraldo - 973 East Guthrie Avenue (MI)</t>
  </si>
  <si>
    <t>1111115170</t>
  </si>
  <si>
    <t>115170</t>
  </si>
  <si>
    <t>Dodson - 3 Jacobs Path (NY)</t>
  </si>
  <si>
    <t>1111118839</t>
  </si>
  <si>
    <t>118839</t>
  </si>
  <si>
    <t>Benitez Chalas - 1246 Herschell Street (FL)</t>
  </si>
  <si>
    <t>1111117215</t>
  </si>
  <si>
    <t>117215</t>
  </si>
  <si>
    <t>Villalona - 15 McKinley Ln (NY)</t>
  </si>
  <si>
    <t>1111117583</t>
  </si>
  <si>
    <t>117583</t>
  </si>
  <si>
    <t>Shaw Shaw - 1514 Gary Street (LA)</t>
  </si>
  <si>
    <t>Bought Out</t>
  </si>
  <si>
    <t>0010003807</t>
  </si>
  <si>
    <t>3807</t>
  </si>
  <si>
    <t>Medrano - 828 Commack Road (NY)</t>
  </si>
  <si>
    <t>0010005299</t>
  </si>
  <si>
    <t>5299</t>
  </si>
  <si>
    <t>Villatoro - 20 Stratford Avenue (NY)</t>
  </si>
  <si>
    <t>0010016169</t>
  </si>
  <si>
    <t>16169</t>
  </si>
  <si>
    <t>Cineas Milfort - 341 Essex Street (NY)</t>
  </si>
  <si>
    <t>0010015687</t>
  </si>
  <si>
    <t>15687</t>
  </si>
  <si>
    <t>Javaid - 5868 U.S. 209 (NY)</t>
  </si>
  <si>
    <t>0010018469</t>
  </si>
  <si>
    <t>18469</t>
  </si>
  <si>
    <t>Sooklall - 122 Shultas Place (CT)</t>
  </si>
  <si>
    <t>0010020044</t>
  </si>
  <si>
    <t>20044</t>
  </si>
  <si>
    <t>Liranzo - 186 North 17th Street (NJ)</t>
  </si>
  <si>
    <t>0010020556</t>
  </si>
  <si>
    <t>20556</t>
  </si>
  <si>
    <t>ROSADO - 2206 Union Boulevard (NY)</t>
  </si>
  <si>
    <t>0010021783</t>
  </si>
  <si>
    <t>21783</t>
  </si>
  <si>
    <t>Claggett - 10 Coleman Lane (NJ)/520 Washington Crossing Pennington Road (NJ)</t>
  </si>
  <si>
    <t>0010024260</t>
  </si>
  <si>
    <t>24260</t>
  </si>
  <si>
    <t>Estes - 5646 South Loomis Boulevard (IL)</t>
  </si>
  <si>
    <t>0010024142</t>
  </si>
  <si>
    <t>24142</t>
  </si>
  <si>
    <t>Shaw - 328 Columbia Street (NY)</t>
  </si>
  <si>
    <t>0010026432</t>
  </si>
  <si>
    <t>26432</t>
  </si>
  <si>
    <t>ROSADO - 96 New Hyde Park Road (NY)</t>
  </si>
  <si>
    <t>0010026865</t>
  </si>
  <si>
    <t>26865</t>
  </si>
  <si>
    <t>Rader - 2214 Sherbrook Drive (FL)</t>
  </si>
  <si>
    <t>0010035017</t>
  </si>
  <si>
    <t>35017</t>
  </si>
  <si>
    <t>Gomez - 750 Harborview Road (NY)</t>
  </si>
  <si>
    <t>0010035186</t>
  </si>
  <si>
    <t>35186</t>
  </si>
  <si>
    <t>Pierre - 202 Berry Street (NJ)</t>
  </si>
  <si>
    <t>0010036093</t>
  </si>
  <si>
    <t>36093</t>
  </si>
  <si>
    <t>East (NY) Castillo Carias - 9 Capobianco Street (NY)</t>
  </si>
  <si>
    <t>0010036211</t>
  </si>
  <si>
    <t>36211</t>
  </si>
  <si>
    <t>Neal - 8019 South Woodlawn Avenue (IL)</t>
  </si>
  <si>
    <t>0010036408</t>
  </si>
  <si>
    <t>36408</t>
  </si>
  <si>
    <t>Paige - 1540 Schilling Avenue (IL)</t>
  </si>
  <si>
    <t>0010038113</t>
  </si>
  <si>
    <t>38113</t>
  </si>
  <si>
    <t>Stock Daniel - 613 Hamilton Street Northwest (DC)</t>
  </si>
  <si>
    <t>0010037425</t>
  </si>
  <si>
    <t>37425</t>
  </si>
  <si>
    <t>Castillo - 30 Miller Place (NY)</t>
  </si>
  <si>
    <t>0010037893</t>
  </si>
  <si>
    <t>37893</t>
  </si>
  <si>
    <t>Singh - 5646 Furnace Avenue (MD)</t>
  </si>
  <si>
    <t>0010038926</t>
  </si>
  <si>
    <t>38926</t>
  </si>
  <si>
    <t>Quinn Reph - 40 Swezey Street (NY)</t>
  </si>
  <si>
    <t>0010039357</t>
  </si>
  <si>
    <t>39357</t>
  </si>
  <si>
    <t>Castillo - 514 Mount Place (NY)</t>
  </si>
  <si>
    <t>0010041330</t>
  </si>
  <si>
    <t>41330</t>
  </si>
  <si>
    <t>Spencer - 1119 37th Street (GA)</t>
  </si>
  <si>
    <t>0010041530</t>
  </si>
  <si>
    <t>41530</t>
  </si>
  <si>
    <t>Evora - 239 9th Street (NY)</t>
  </si>
  <si>
    <t>0010041715</t>
  </si>
  <si>
    <t>41715</t>
  </si>
  <si>
    <t>livermore - 9860 S Thomas Dr (FL)</t>
  </si>
  <si>
    <t>0010042363</t>
  </si>
  <si>
    <t>42363</t>
  </si>
  <si>
    <t>livermore - 9860 South Thomas Drive (FL)</t>
  </si>
  <si>
    <t>0010042369</t>
  </si>
  <si>
    <t>42369</t>
  </si>
  <si>
    <t>0010042176</t>
  </si>
  <si>
    <t>42176</t>
  </si>
  <si>
    <t>0010042264</t>
  </si>
  <si>
    <t>42264</t>
  </si>
  <si>
    <t>0010040799</t>
  </si>
  <si>
    <t>40799</t>
  </si>
  <si>
    <t>Singh - 9626 Harford Road (MD)</t>
  </si>
  <si>
    <t>0010040797</t>
  </si>
  <si>
    <t>40797</t>
  </si>
  <si>
    <t>Singh - 9624 Harford Road (MD)</t>
  </si>
  <si>
    <t>0010043565</t>
  </si>
  <si>
    <t>43565</t>
  </si>
  <si>
    <t>Maldonado - 30 New Mill Road (NY)</t>
  </si>
  <si>
    <t>0010046142</t>
  </si>
  <si>
    <t>46142</t>
  </si>
  <si>
    <t>Quallis Mcgee- Geathers - 6134 Washington Avenue (PA)</t>
  </si>
  <si>
    <t>0010047379</t>
  </si>
  <si>
    <t>47379</t>
  </si>
  <si>
    <t>Castillo - 89 Claremont Avenue (NY)</t>
  </si>
  <si>
    <t>0010048793</t>
  </si>
  <si>
    <t>48793</t>
  </si>
  <si>
    <t>Vanderbilt - 6904 South Parnell Avenue (IL)</t>
  </si>
  <si>
    <t>0010048869</t>
  </si>
  <si>
    <t>48869</t>
  </si>
  <si>
    <t>Vanderbilt - 6906 South Parnell Avenue (IL)</t>
  </si>
  <si>
    <t>0010048790</t>
  </si>
  <si>
    <t>48790</t>
  </si>
  <si>
    <t>Vanderbilt - 6902 South Parnell Avenue (IL)</t>
  </si>
  <si>
    <t>0010050657</t>
  </si>
  <si>
    <t>50657</t>
  </si>
  <si>
    <t>Narragansett Avenue (NY) Marquis Okafor - 639 East 107th Street (OH)</t>
  </si>
  <si>
    <t>0010050661</t>
  </si>
  <si>
    <t>50661</t>
  </si>
  <si>
    <t>Marquis Okafor - 571 East 107th Street (OH)</t>
  </si>
  <si>
    <t>0010051288</t>
  </si>
  <si>
    <t>51288</t>
  </si>
  <si>
    <t>Singh Singh - Lot 5 and Lot 7 Oak Drive (MD)</t>
  </si>
  <si>
    <t>0010051480</t>
  </si>
  <si>
    <t>51480</t>
  </si>
  <si>
    <t>Gonsalves - 1134 5th Street (NY)</t>
  </si>
  <si>
    <t>0010051388</t>
  </si>
  <si>
    <t>51388</t>
  </si>
  <si>
    <t>Castillo - 41 Church Street (NY)/39 Church Street (NY)/43 Church Street (NY)</t>
  </si>
  <si>
    <t>0010053782</t>
  </si>
  <si>
    <t>53782</t>
  </si>
  <si>
    <t>Rivera Calderon - 495 Dewitt Avenue (NY)</t>
  </si>
  <si>
    <t>0010053524</t>
  </si>
  <si>
    <t>53524</t>
  </si>
  <si>
    <t>Pichardo Castro - 265 West Drive (NY)</t>
  </si>
  <si>
    <t>0010053231</t>
  </si>
  <si>
    <t>53231</t>
  </si>
  <si>
    <t>Johnson - 669 East 224th Street (NY)</t>
  </si>
  <si>
    <t>0010055064</t>
  </si>
  <si>
    <t>55064</t>
  </si>
  <si>
    <t>Robertelli - 525 Argyle Avenue (NJ)</t>
  </si>
  <si>
    <t>0010052869</t>
  </si>
  <si>
    <t>52869</t>
  </si>
  <si>
    <t>Gonsalves - 133 Lincoln Street (NY)</t>
  </si>
  <si>
    <t>0010055200</t>
  </si>
  <si>
    <t>55200</t>
  </si>
  <si>
    <t>Balkonis - 120 Pomar Street (FL)</t>
  </si>
  <si>
    <t>0010056478</t>
  </si>
  <si>
    <t>56478</t>
  </si>
  <si>
    <t>Bautista Bernardo - 39 Cedar (NY)</t>
  </si>
  <si>
    <t>0010057326</t>
  </si>
  <si>
    <t>57326</t>
  </si>
  <si>
    <t>Wolff - 14 West Reindeer Trail (NY)</t>
  </si>
  <si>
    <t>0010057476</t>
  </si>
  <si>
    <t>57476</t>
  </si>
  <si>
    <t>Skeldon - 28 Locust Street (NY)</t>
  </si>
  <si>
    <t>0010058876</t>
  </si>
  <si>
    <t>58876</t>
  </si>
  <si>
    <t>Awad Awad - 1158 East Summitt Street (IN)</t>
  </si>
  <si>
    <t>0010059622</t>
  </si>
  <si>
    <t>59622</t>
  </si>
  <si>
    <t>Veliz Gil - 561 East Buchtel Avenue (OH)</t>
  </si>
  <si>
    <t>0010060447</t>
  </si>
  <si>
    <t>60447</t>
  </si>
  <si>
    <t>Sciascia - 440 Northeast 26th Terrace (FL)</t>
  </si>
  <si>
    <t>0010060891</t>
  </si>
  <si>
    <t>60891</t>
  </si>
  <si>
    <t>Balkonis - 106 Ansley Lane (FL)</t>
  </si>
  <si>
    <t>0010059436</t>
  </si>
  <si>
    <t>59436</t>
  </si>
  <si>
    <t>Maria - 1537 Gardner Avenue (PA)</t>
  </si>
  <si>
    <t>0010054613</t>
  </si>
  <si>
    <t>54613</t>
  </si>
  <si>
    <t>Alexander - 10100 South Eggleston Avenue (IL)</t>
  </si>
  <si>
    <t>0010060156</t>
  </si>
  <si>
    <t>60156</t>
  </si>
  <si>
    <t>Parray - 2 Washington Carver Drive (NY)</t>
  </si>
  <si>
    <t>0010061253</t>
  </si>
  <si>
    <t>61253</t>
  </si>
  <si>
    <t>Lemus Carias Castro - 321 1st Street (NY)</t>
  </si>
  <si>
    <t>0001062643</t>
  </si>
  <si>
    <t>62643</t>
  </si>
  <si>
    <t>Vanderbilt - 2807 Willow Road (IL)</t>
  </si>
  <si>
    <t>0010058605</t>
  </si>
  <si>
    <t>58605</t>
  </si>
  <si>
    <t>Frattalone Mark - 143- 145 West Main Street (NJ)</t>
  </si>
  <si>
    <t>0001062303</t>
  </si>
  <si>
    <t>62303</t>
  </si>
  <si>
    <t>Goldstein Horowitz Goldstein - 218 Downs Street (NY)</t>
  </si>
  <si>
    <t>0010058964</t>
  </si>
  <si>
    <t>58964</t>
  </si>
  <si>
    <t>Horowitz Goldstein Goldstein - 385 Main Street (NY)</t>
  </si>
  <si>
    <t>0010060793</t>
  </si>
  <si>
    <t>60793</t>
  </si>
  <si>
    <t>0010058185</t>
  </si>
  <si>
    <t>58185</t>
  </si>
  <si>
    <t>Herman - 4 Teal Way (NY)</t>
  </si>
  <si>
    <t>0001066272</t>
  </si>
  <si>
    <t>66272</t>
  </si>
  <si>
    <t>Wharton Wharton - 1422 West Hunting Park Avenue (PA)</t>
  </si>
  <si>
    <t>0001064549</t>
  </si>
  <si>
    <t>64549</t>
  </si>
  <si>
    <t>Winbush - 668 N 30th St (LA)</t>
  </si>
  <si>
    <t>0001065195</t>
  </si>
  <si>
    <t>65195</t>
  </si>
  <si>
    <t>Granillo Aguilar Parray - 28 Dow Street (NY)</t>
  </si>
  <si>
    <t>0001066824</t>
  </si>
  <si>
    <t>66824</t>
  </si>
  <si>
    <t>Brooks - 6 Cynthia Street (MI)</t>
  </si>
  <si>
    <t>0001069023</t>
  </si>
  <si>
    <t>69023</t>
  </si>
  <si>
    <t>Kukla Rivera - 3739 Niami Street (NY)</t>
  </si>
  <si>
    <t>0001071871</t>
  </si>
  <si>
    <t>71871</t>
  </si>
  <si>
    <t>Arkali - 2185 Splish Splash Drive (NY)</t>
  </si>
  <si>
    <t>0001068856</t>
  </si>
  <si>
    <t>68856</t>
  </si>
  <si>
    <t>Moran Saavedra - 15 Maple Avenue (NY)</t>
  </si>
  <si>
    <t>0001065455</t>
  </si>
  <si>
    <t>65455</t>
  </si>
  <si>
    <t>Stock - 5123 8th Street Northwest (DC)</t>
  </si>
  <si>
    <t>0001072202</t>
  </si>
  <si>
    <t>72202</t>
  </si>
  <si>
    <t>Malampy Buck - 1320 Holland Street (PA)</t>
  </si>
  <si>
    <t>0001072128</t>
  </si>
  <si>
    <t>72128</t>
  </si>
  <si>
    <t>Alvarado - 178 North Ocean Avenue (NY)</t>
  </si>
  <si>
    <t>0001071344</t>
  </si>
  <si>
    <t>71344</t>
  </si>
  <si>
    <t>Espinoza - 4232 Vanette Lane (TX)</t>
  </si>
  <si>
    <t>0001074003</t>
  </si>
  <si>
    <t>74003</t>
  </si>
  <si>
    <t>Palumbo - 32 Topping Street (NY)</t>
  </si>
  <si>
    <t>0001074380</t>
  </si>
  <si>
    <t>74380</t>
  </si>
  <si>
    <t>O'sullivan - 20 Surrey Drive (NY)</t>
  </si>
  <si>
    <t>0001074599</t>
  </si>
  <si>
    <t>74599</t>
  </si>
  <si>
    <t>Balkonis - 4108 Collins Road (FL)</t>
  </si>
  <si>
    <t>0001076477</t>
  </si>
  <si>
    <t>76477</t>
  </si>
  <si>
    <t>Gonsalves - 1338 North 57th Street (PA)</t>
  </si>
  <si>
    <t>0001072797</t>
  </si>
  <si>
    <t>72797</t>
  </si>
  <si>
    <t>Navarro - 74 East Suffolk Avenue (NY)</t>
  </si>
  <si>
    <t>0001076471</t>
  </si>
  <si>
    <t>76471</t>
  </si>
  <si>
    <t>Gonsalves - 1332 North Alden Street (PA)</t>
  </si>
  <si>
    <t>0001073335</t>
  </si>
  <si>
    <t>73335</t>
  </si>
  <si>
    <t>Germano Hawksley - 29 Mechanic Street (CT)</t>
  </si>
  <si>
    <t>0001077687</t>
  </si>
  <si>
    <t>77687</t>
  </si>
  <si>
    <t>Galarza-Lopez - 155 Wellsville Avenue (CT)</t>
  </si>
  <si>
    <t>0001078303</t>
  </si>
  <si>
    <t>78303</t>
  </si>
  <si>
    <t>Vargas - 1342 3rd Street (PA)</t>
  </si>
  <si>
    <t>0001076835</t>
  </si>
  <si>
    <t>76835</t>
  </si>
  <si>
    <t>Boudon - 1209 Hancock Street</t>
  </si>
  <si>
    <t>0001077993</t>
  </si>
  <si>
    <t>77993</t>
  </si>
  <si>
    <t>(NY) Gonsalves - 600 East Main Street (NY)</t>
  </si>
  <si>
    <t>0001077781</t>
  </si>
  <si>
    <t>77781</t>
  </si>
  <si>
    <t>Correa Hernandez - 439 Prospect Avenue (NY)</t>
  </si>
  <si>
    <t>0001077647</t>
  </si>
  <si>
    <t>77647</t>
  </si>
  <si>
    <t>Graham - 512 Raleigh Street (NC)</t>
  </si>
  <si>
    <t>0001077945</t>
  </si>
  <si>
    <t>77945</t>
  </si>
  <si>
    <t>Baksh - 279 Southaven Avenue (NY)</t>
  </si>
  <si>
    <t>0010059254</t>
  </si>
  <si>
    <t>59254</t>
  </si>
  <si>
    <t>Ohabi Lavi - 27 Sewell Street (NY)</t>
  </si>
  <si>
    <t>0001078274</t>
  </si>
  <si>
    <t>78274</t>
  </si>
  <si>
    <t>Wadsworth Ben- Amram - 375 Big Bend Circle (OH)</t>
  </si>
  <si>
    <t>0001078887</t>
  </si>
  <si>
    <t>78887</t>
  </si>
  <si>
    <t>Smith Berg Berg Feit - 15 Sherman Drive (PA)</t>
  </si>
  <si>
    <t>0001063890</t>
  </si>
  <si>
    <t>63890</t>
  </si>
  <si>
    <t>Lavi Ohabi - 64 South Montgomery Street (NY)</t>
  </si>
  <si>
    <t>0001078659</t>
  </si>
  <si>
    <t>78659</t>
  </si>
  <si>
    <t>Sigera - 5113 8th Street Northwest (DC)</t>
  </si>
  <si>
    <t>0001080241</t>
  </si>
  <si>
    <t>80241</t>
  </si>
  <si>
    <t>Guerrero - 18 Tropical Drive (FL)</t>
  </si>
  <si>
    <t>0001078578</t>
  </si>
  <si>
    <t>78578</t>
  </si>
  <si>
    <t>Smith - 6723 Sealey Street (TX)</t>
  </si>
  <si>
    <t>0001077430</t>
  </si>
  <si>
    <t>77430</t>
  </si>
  <si>
    <t>Lelievre - 60 Bedell Street (NY)</t>
  </si>
  <si>
    <t>0001079608</t>
  </si>
  <si>
    <t>79608</t>
  </si>
  <si>
    <t>Cruz - 100 Mill Street (NY)</t>
  </si>
  <si>
    <t>0001080175</t>
  </si>
  <si>
    <t>80175</t>
  </si>
  <si>
    <t>Johnson Grosso - 15 Community Road (NY)</t>
  </si>
  <si>
    <t>0001079262</t>
  </si>
  <si>
    <t>79262</t>
  </si>
  <si>
    <t>Zhingre - 10 Ashland Court. (NY)</t>
  </si>
  <si>
    <t>0001081469</t>
  </si>
  <si>
    <t>81469</t>
  </si>
  <si>
    <t>Gadtaula - 115 North Clinton Avenue (NY)</t>
  </si>
  <si>
    <t>0001078984</t>
  </si>
  <si>
    <t>78984</t>
  </si>
  <si>
    <t>Sigera - 5413 7th Street Northwest (DC)/5413 7th Street Northwest (DC)/5413 7th Street Northwest (DC)</t>
  </si>
  <si>
    <t>0001081181</t>
  </si>
  <si>
    <t>81181</t>
  </si>
  <si>
    <t>Lilly Lilly - 1019 West Dakota Street (PA)</t>
  </si>
  <si>
    <t>0001082055</t>
  </si>
  <si>
    <t>82055</t>
  </si>
  <si>
    <t>Lopez Arevalo - 601 Dartmouth Street (NY)</t>
  </si>
  <si>
    <t>0001083405</t>
  </si>
  <si>
    <t>83405</t>
  </si>
  <si>
    <t>Arce - 2991 Deeb Drive (GA)</t>
  </si>
  <si>
    <t>0001083310</t>
  </si>
  <si>
    <t>83310</t>
  </si>
  <si>
    <t>Germano Hawksley - 8 Dyer Street (CT)</t>
  </si>
  <si>
    <t>0001082569</t>
  </si>
  <si>
    <t>82569</t>
  </si>
  <si>
    <t>Khan - 16 South 3rd Avenue (NJ)</t>
  </si>
  <si>
    <t>0001083208</t>
  </si>
  <si>
    <t>83208</t>
  </si>
  <si>
    <t>Farfan Ochoa - 4617 Southwest 28th Way (FL)</t>
  </si>
  <si>
    <t>0001082402</t>
  </si>
  <si>
    <t>82402</t>
  </si>
  <si>
    <t>Patton McKinney - 1001 Southwest 1st Avenue (TX)</t>
  </si>
  <si>
    <t>0001084260</t>
  </si>
  <si>
    <t>84260</t>
  </si>
  <si>
    <t>Turner - 4501 Maggie Street (TX)</t>
  </si>
  <si>
    <t>0001085397</t>
  </si>
  <si>
    <t>85397</t>
  </si>
  <si>
    <t>Pappas - 1846 3rd Street South (FL)</t>
  </si>
  <si>
    <t>0001080410</t>
  </si>
  <si>
    <t>80410</t>
  </si>
  <si>
    <t>Sandjaby - 245 Hanson Street (PA)</t>
  </si>
  <si>
    <t>0001085584</t>
  </si>
  <si>
    <t>85584</t>
  </si>
  <si>
    <t>Pursifull - 322 South Church Street (NC)</t>
  </si>
  <si>
    <t>0001085856</t>
  </si>
  <si>
    <t>85856</t>
  </si>
  <si>
    <t>Rivera Reid - 24520 149th Rd (NY)</t>
  </si>
  <si>
    <t>0001083793</t>
  </si>
  <si>
    <t>83793</t>
  </si>
  <si>
    <t>Seyboth - 105</t>
  </si>
  <si>
    <t>0001085178</t>
  </si>
  <si>
    <t>85178</t>
  </si>
  <si>
    <t>Jeffrey - 17436 71st Lane North (FL)</t>
  </si>
  <si>
    <t>0001087217</t>
  </si>
  <si>
    <t>87217</t>
  </si>
  <si>
    <t>Plushnick - 2007 Glen Ross Road (MD)</t>
  </si>
  <si>
    <t>0001086969</t>
  </si>
  <si>
    <t>86969</t>
  </si>
  <si>
    <t>Ohabi Lavi - 138 Windsor Parkway (NY)</t>
  </si>
  <si>
    <t>0001088269</t>
  </si>
  <si>
    <t>88269</t>
  </si>
  <si>
    <t>Amador Nunez - 5 Beaulieu Court (NY)</t>
  </si>
  <si>
    <t>0001087670</t>
  </si>
  <si>
    <t>87670</t>
  </si>
  <si>
    <t>Panzarella - 85 South Franklin Street (NY)</t>
  </si>
  <si>
    <t>0001089460</t>
  </si>
  <si>
    <t>89460</t>
  </si>
  <si>
    <t>Ohabi Lavi - 141-09 185th Street (NY)</t>
  </si>
  <si>
    <t>0001088972</t>
  </si>
  <si>
    <t>88972</t>
  </si>
  <si>
    <t>Weberman Kohn - 624 4th Street (NY)</t>
  </si>
  <si>
    <t>0001086951</t>
  </si>
  <si>
    <t>86951</t>
  </si>
  <si>
    <t>Santana - 11 Elm Street (NY)</t>
  </si>
  <si>
    <t>0001088418</t>
  </si>
  <si>
    <t>88418</t>
  </si>
  <si>
    <t>West Baker - 265 Eldert Street (NY)</t>
  </si>
  <si>
    <t>0001089943</t>
  </si>
  <si>
    <t>89943</t>
  </si>
  <si>
    <t>Ophelia - 683 Northwest 21 Street (FL)</t>
  </si>
  <si>
    <t>0001087814</t>
  </si>
  <si>
    <t>87814</t>
  </si>
  <si>
    <t>Ohabi Lavi - 81-37 Woodhaven Boulevard (NY)</t>
  </si>
  <si>
    <t>0001084165</t>
  </si>
  <si>
    <t>84165</t>
  </si>
  <si>
    <t>RAMIREZ - 37 Hickory Track Way (FL)</t>
  </si>
  <si>
    <t>0001089614</t>
  </si>
  <si>
    <t>89614</t>
  </si>
  <si>
    <t>Patton - 919 Southwest 3rd Avenue (TX)</t>
  </si>
  <si>
    <t>0001089389</t>
  </si>
  <si>
    <t>89389</t>
  </si>
  <si>
    <t>Brown - 40 South</t>
  </si>
  <si>
    <t>0001084262</t>
  </si>
  <si>
    <t>84262</t>
  </si>
  <si>
    <t>Sandjaby - 26 Windemere Way (NY)</t>
  </si>
  <si>
    <t>0001089037</t>
  </si>
  <si>
    <t>89037</t>
  </si>
  <si>
    <t>Rios - 7925 Northwest 16th Avenue (FL)</t>
  </si>
  <si>
    <t>0001089846</t>
  </si>
  <si>
    <t>89846</t>
  </si>
  <si>
    <t>Kroos - 408 West 5th Street (NY)</t>
  </si>
  <si>
    <t>0001088588</t>
  </si>
  <si>
    <t>88588</t>
  </si>
  <si>
    <t>Kroos - 201 Front Street (NY)</t>
  </si>
  <si>
    <t>0001088758</t>
  </si>
  <si>
    <t>88758</t>
  </si>
  <si>
    <t>Kroos - 205 Front Street (NY)</t>
  </si>
  <si>
    <t>0001088534</t>
  </si>
  <si>
    <t>88534</t>
  </si>
  <si>
    <t>Fernandez - 9 Holt Street (NY)</t>
  </si>
  <si>
    <t>0001091688</t>
  </si>
  <si>
    <t>91688</t>
  </si>
  <si>
    <t>Alban Alban - 16 Fife Drive (NY)</t>
  </si>
  <si>
    <t>0001086680</t>
  </si>
  <si>
    <t>86680</t>
  </si>
  <si>
    <t>Trotter - 2906 West Diamond street (PA)</t>
  </si>
  <si>
    <t>0001090942</t>
  </si>
  <si>
    <t>90942</t>
  </si>
  <si>
    <t>Kelly - 84 James Hawkins Road (NY)</t>
  </si>
  <si>
    <t>0001091808</t>
  </si>
  <si>
    <t>91808</t>
  </si>
  <si>
    <t>Oakley - 7 Continental Hill (NY)</t>
  </si>
  <si>
    <t>0001088274</t>
  </si>
  <si>
    <t>88274</t>
  </si>
  <si>
    <t>Ferrari - 3204 Chancellor Lane (NC)</t>
  </si>
  <si>
    <t>0001087044</t>
  </si>
  <si>
    <t>87044</t>
  </si>
  <si>
    <t>Shinnecock Lane (NY) Palumbo - 72 Goodall Street (NY)</t>
  </si>
  <si>
    <t>0001091520</t>
  </si>
  <si>
    <t>91520</t>
  </si>
  <si>
    <t>Weberman Kohn - 9 Reservoir Street (NY)</t>
  </si>
  <si>
    <t>0001088833</t>
  </si>
  <si>
    <t>88833</t>
  </si>
  <si>
    <t>Moretti - 32 Sycamore Road (NY)</t>
  </si>
  <si>
    <t>0001091609</t>
  </si>
  <si>
    <t>91609</t>
  </si>
  <si>
    <t>Regar La Senna - 2667 Cheryle Lane (FL)</t>
  </si>
  <si>
    <t>0001091245</t>
  </si>
  <si>
    <t>91245</t>
  </si>
  <si>
    <t>Santana - 139 Rigney Street (NY)</t>
  </si>
  <si>
    <t>0001092053</t>
  </si>
  <si>
    <t>92053</t>
  </si>
  <si>
    <t>Alban - 200 Irish Lane (NY)</t>
  </si>
  <si>
    <t>0001089707</t>
  </si>
  <si>
    <t>89707</t>
  </si>
  <si>
    <t>Egan Siffert - 81 University Heights Drive (NY)</t>
  </si>
  <si>
    <t>0001087756</t>
  </si>
  <si>
    <t>87756</t>
  </si>
  <si>
    <t>Pironi Pironi Pironi - 756 a/k/a 7762 Connecticut View Drive (NY)</t>
  </si>
  <si>
    <t>0001087752</t>
  </si>
  <si>
    <t>87752</t>
  </si>
  <si>
    <t>Pironi Pironi Pironi - 758 Connecticut View Drive (NY)</t>
  </si>
  <si>
    <t>1111092352</t>
  </si>
  <si>
    <t>92352</t>
  </si>
  <si>
    <t>Fuentes Lara Gomez Zapata Gallego - 41333</t>
  </si>
  <si>
    <t>1111090171</t>
  </si>
  <si>
    <t>90171</t>
  </si>
  <si>
    <t>State Road 19 (FL) Weberman Kohn - 414 2nd Avenue (NY)</t>
  </si>
  <si>
    <t>1111092736</t>
  </si>
  <si>
    <t>92736</t>
  </si>
  <si>
    <t>Ohabi Lavi - 15 Circle Drive (NY)</t>
  </si>
  <si>
    <t>1111092237</t>
  </si>
  <si>
    <t>92237</t>
  </si>
  <si>
    <t>Alban - 1080 Ostrander Avenue (NY)</t>
  </si>
  <si>
    <t>1111088088</t>
  </si>
  <si>
    <t>88088</t>
  </si>
  <si>
    <t>Giannone Marino - 133 Newmarket Rd (NY)</t>
  </si>
  <si>
    <t>1111092066</t>
  </si>
  <si>
    <t>92066</t>
  </si>
  <si>
    <t>Veillard - 3918 Guyton Street (GA)</t>
  </si>
  <si>
    <t>1111093374</t>
  </si>
  <si>
    <t>93374</t>
  </si>
  <si>
    <t>Gera - 14 Bark Lane (NY)</t>
  </si>
  <si>
    <t>1111091897</t>
  </si>
  <si>
    <t>91897</t>
  </si>
  <si>
    <t>Alban Barros - 61 Lincoln Avenue (NY)</t>
  </si>
  <si>
    <t>1111086503</t>
  </si>
  <si>
    <t>86503</t>
  </si>
  <si>
    <t>Fuentes Calderon - 125 Burlington Avenue (NY)</t>
  </si>
  <si>
    <t>1111093255</t>
  </si>
  <si>
    <t>93255</t>
  </si>
  <si>
    <t>Alban Alban - 302 Three Mile Harbor Road (NY)</t>
  </si>
  <si>
    <t>1111092716</t>
  </si>
  <si>
    <t>92716</t>
  </si>
  <si>
    <t>Muehlstein Muehlstein Myers Myers - 242 Bellshire Drive (TN)</t>
  </si>
  <si>
    <t>1111089576</t>
  </si>
  <si>
    <t>89576</t>
  </si>
  <si>
    <t>Casali O'Rourke Casali Jr. Casali - 2 Pickett Road (CT)</t>
  </si>
  <si>
    <t>1111092446</t>
  </si>
  <si>
    <t>92446</t>
  </si>
  <si>
    <t>Szaboova - 53 Elkview Drive (PA)</t>
  </si>
  <si>
    <t>1111092128</t>
  </si>
  <si>
    <t>92128</t>
  </si>
  <si>
    <t>Fernandez - 248 East Shore Road (NY)</t>
  </si>
  <si>
    <t>1111090901</t>
  </si>
  <si>
    <t>90901</t>
  </si>
  <si>
    <t>Fuentes Lara Gomez - 2415 Neptune Road (FL)</t>
  </si>
  <si>
    <t>1111093402</t>
  </si>
  <si>
    <t>93402</t>
  </si>
  <si>
    <t>Maleh - 645 26th Street Northwest (FL)</t>
  </si>
  <si>
    <t>1111090905</t>
  </si>
  <si>
    <t>90905</t>
  </si>
  <si>
    <t>Fuentes Lara Gomez - 2417 Neptune Road (FL)</t>
  </si>
  <si>
    <t>1111092924</t>
  </si>
  <si>
    <t>92924</t>
  </si>
  <si>
    <t>Chavez Miranda - 1503 Narcissus Street (TX)</t>
  </si>
  <si>
    <t>1111093974</t>
  </si>
  <si>
    <t>93974</t>
  </si>
  <si>
    <t>Sales - 2317 West Gaulbert Avenue (KY)</t>
  </si>
  <si>
    <t>1111091847</t>
  </si>
  <si>
    <t>91847</t>
  </si>
  <si>
    <t>Jerusalem Avenue (NY) Juarez Garcia Prieto - 528 Canary Place (NY)</t>
  </si>
  <si>
    <t>1111093265</t>
  </si>
  <si>
    <t>93265</t>
  </si>
  <si>
    <t>Jygayev - 28 McCulloch Drive (NY)</t>
  </si>
  <si>
    <t>1111091466</t>
  </si>
  <si>
    <t>91466</t>
  </si>
  <si>
    <t>Estrada - 4179 Route 9W (NY)</t>
  </si>
  <si>
    <t>1111094715</t>
  </si>
  <si>
    <t>94715</t>
  </si>
  <si>
    <t>Estrada - 555 West Main Street (NY)</t>
  </si>
  <si>
    <t>1111094620</t>
  </si>
  <si>
    <t>94620</t>
  </si>
  <si>
    <t>Ramos Cochran - 915 Kinley Avenue Northwest (NM)</t>
  </si>
  <si>
    <t>1111093644</t>
  </si>
  <si>
    <t>93644</t>
  </si>
  <si>
    <t>George - 1020 Temple St (WV)</t>
  </si>
  <si>
    <t>1111093366</t>
  </si>
  <si>
    <t>93366</t>
  </si>
  <si>
    <t>Cooke - 220 Hanover Avenue (SC)</t>
  </si>
  <si>
    <t>1111093895</t>
  </si>
  <si>
    <t>93895</t>
  </si>
  <si>
    <t>Patton - 1606 Southeast 25th Avenue (TX)</t>
  </si>
  <si>
    <t>1111088340</t>
  </si>
  <si>
    <t>88340</t>
  </si>
  <si>
    <t>Seyboth - 981 State Route 51 (NY)</t>
  </si>
  <si>
    <t>1111093955</t>
  </si>
  <si>
    <t>93955</t>
  </si>
  <si>
    <t>Jygayev - 71 Wichard Boulevard (NY)</t>
  </si>
  <si>
    <t>1111090733</t>
  </si>
  <si>
    <t>90733</t>
  </si>
  <si>
    <t>Shalamberidze - 10 Crown Lane (NY)</t>
  </si>
  <si>
    <t>1111094429</t>
  </si>
  <si>
    <t>94429</t>
  </si>
  <si>
    <t>Denton - 1521 Baker Street Northeast (FL)</t>
  </si>
  <si>
    <t>1111085221</t>
  </si>
  <si>
    <t>85221</t>
  </si>
  <si>
    <t>Inestroza - 1057 Brenton Avenue (FL)</t>
  </si>
  <si>
    <t>1111093306</t>
  </si>
  <si>
    <t>93306</t>
  </si>
  <si>
    <t>Weberman Kohn - 837 Bradt Street (NY)</t>
  </si>
  <si>
    <t>1111094021</t>
  </si>
  <si>
    <t>94021</t>
  </si>
  <si>
    <t>Conce Conce - 156 Church Drive (NY)</t>
  </si>
  <si>
    <t>1111094568</t>
  </si>
  <si>
    <t>94568</t>
  </si>
  <si>
    <t>Santana - 7 Fort Hill Road (NY)</t>
  </si>
  <si>
    <t>1111092790</t>
  </si>
  <si>
    <t>92790</t>
  </si>
  <si>
    <t>Cardenas - 80 Swezey Street (NY)</t>
  </si>
  <si>
    <t>1111094580</t>
  </si>
  <si>
    <t>94580</t>
  </si>
  <si>
    <t>Malik Malik - 24 Buckskin Lane (NY)</t>
  </si>
  <si>
    <t>1111095238</t>
  </si>
  <si>
    <t>95238</t>
  </si>
  <si>
    <t>Cuzzone - 28 Silver Street (NY)</t>
  </si>
  <si>
    <t>1111095187</t>
  </si>
  <si>
    <t>95187</t>
  </si>
  <si>
    <t>Canela - 1400 Straight Path (NY)</t>
  </si>
  <si>
    <t>1111094798</t>
  </si>
  <si>
    <t>94798</t>
  </si>
  <si>
    <t>Mejia - 606 2nd Street (VA)</t>
  </si>
  <si>
    <t>1111094633</t>
  </si>
  <si>
    <t>94633</t>
  </si>
  <si>
    <t>Pawelek - 560 N Main st, (NC)</t>
  </si>
  <si>
    <t>1111095789</t>
  </si>
  <si>
    <t>95789</t>
  </si>
  <si>
    <t>Tooker - 450 Munsell Road (NY)</t>
  </si>
  <si>
    <t>1111094862</t>
  </si>
  <si>
    <t>94862</t>
  </si>
  <si>
    <t>Santiago Gonzalez - 408 Hosner Mountain Road (NY)</t>
  </si>
  <si>
    <t>1111096283</t>
  </si>
  <si>
    <t>96283</t>
  </si>
  <si>
    <t>Ladd - 22 Hudson View Pl (NY)</t>
  </si>
  <si>
    <t>1111090355</t>
  </si>
  <si>
    <t>90355</t>
  </si>
  <si>
    <t>Jaggi - 21 Van Brunt Road (NY)</t>
  </si>
  <si>
    <t>1111090969</t>
  </si>
  <si>
    <t>90969</t>
  </si>
  <si>
    <t>Luna Murillo - 674 Winthrop Drive (NY)</t>
  </si>
  <si>
    <t>1111096310</t>
  </si>
  <si>
    <t>96310</t>
  </si>
  <si>
    <t>Muehlstein Muehlstein Myers Myers - 2922 Painted Pony Drive (TN)</t>
  </si>
  <si>
    <t>1111092902</t>
  </si>
  <si>
    <t>92902</t>
  </si>
  <si>
    <t>Dahl Inakavadze Dahl - 227 East Brady Street (PA)</t>
  </si>
  <si>
    <t>1111085225</t>
  </si>
  <si>
    <t>85225</t>
  </si>
  <si>
    <t>High Street (MA) Inestroza - 1059 Brenton Avenue (FL)</t>
  </si>
  <si>
    <t>1111087947</t>
  </si>
  <si>
    <t>87947</t>
  </si>
  <si>
    <t>Malik Malik - 23 S Coleman Rd (NY)</t>
  </si>
  <si>
    <t>1111097313</t>
  </si>
  <si>
    <t>97313</t>
  </si>
  <si>
    <t>Amarillo - 545 Granny Road (NY)</t>
  </si>
  <si>
    <t>1111096012</t>
  </si>
  <si>
    <t>96012</t>
  </si>
  <si>
    <t>Molina - 47 Essex Circle (NY)</t>
  </si>
  <si>
    <t>1111092810</t>
  </si>
  <si>
    <t>92810</t>
  </si>
  <si>
    <t>Fuentes Lara - 314 Emmett St (FL)</t>
  </si>
  <si>
    <t>1111093488</t>
  </si>
  <si>
    <t>93488</t>
  </si>
  <si>
    <t>Kelly - Lot #20.008 Jersey Avenue (NY)</t>
  </si>
  <si>
    <t>1111096131</t>
  </si>
  <si>
    <t>96131</t>
  </si>
  <si>
    <t>Klein - 2900 West Lake Road (NY)</t>
  </si>
  <si>
    <t>1111097031</t>
  </si>
  <si>
    <t>97031</t>
  </si>
  <si>
    <t>Siddiqi - 1318 Wing Avenue (NY)</t>
  </si>
  <si>
    <t>1111093365</t>
  </si>
  <si>
    <t>93365</t>
  </si>
  <si>
    <t>Shalamberidze - 14 Fawn Lane (NY)</t>
  </si>
  <si>
    <t>1111097296</t>
  </si>
  <si>
    <t>97296</t>
  </si>
  <si>
    <t>Alban - 8 Fort Hill Road (NY)</t>
  </si>
  <si>
    <t>1111097299</t>
  </si>
  <si>
    <t>97299</t>
  </si>
  <si>
    <t>Paturi - 5461 Stillhouse Road (GA)</t>
  </si>
  <si>
    <t>1111096867</t>
  </si>
  <si>
    <t>96867</t>
  </si>
  <si>
    <t>Parray - 1453 Brentwood Road (NY)</t>
  </si>
  <si>
    <t>1111098318</t>
  </si>
  <si>
    <t>98318</t>
  </si>
  <si>
    <t>Lavi Ohabi - 1686 Rosalind Avenue (NY)</t>
  </si>
  <si>
    <t>1111096139</t>
  </si>
  <si>
    <t>96139</t>
  </si>
  <si>
    <t>Johnson Johnson Johnson - 2 North Milton Avenue (MD)</t>
  </si>
  <si>
    <t>1111097654</t>
  </si>
  <si>
    <t>97654</t>
  </si>
  <si>
    <t>Rajanala - 9 Chester Street (MA)</t>
  </si>
  <si>
    <t>1111097561</t>
  </si>
  <si>
    <t>97561</t>
  </si>
  <si>
    <t>Shalamberidze - 19 Mead Lane (NY)</t>
  </si>
  <si>
    <t>1111092814</t>
  </si>
  <si>
    <t>92814</t>
  </si>
  <si>
    <t>Shalamberidze - 12 Friends Lane (NY)</t>
  </si>
  <si>
    <t>1111099281</t>
  </si>
  <si>
    <t>99281</t>
  </si>
  <si>
    <t>Scott Colmon - 2526 South 66th Street (PA)</t>
  </si>
  <si>
    <t>1111099122</t>
  </si>
  <si>
    <t>99122</t>
  </si>
  <si>
    <t>Ghazvini - 63 Anchor Lane (NY)</t>
  </si>
  <si>
    <t>1111098626</t>
  </si>
  <si>
    <t>98626</t>
  </si>
  <si>
    <t>Lavi Ohabi - 58 Rutland Road (NY)</t>
  </si>
  <si>
    <t>1111099633</t>
  </si>
  <si>
    <t>99633</t>
  </si>
  <si>
    <t>Haghani Vargas -</t>
  </si>
  <si>
    <t>1111099566</t>
  </si>
  <si>
    <t>99566</t>
  </si>
  <si>
    <t>Haghani Vargas - 123 Eisenhower Boulevard (PA)</t>
  </si>
  <si>
    <t>1111097181</t>
  </si>
  <si>
    <t>97181</t>
  </si>
  <si>
    <t>Maldonado - 49 Franklin Street (NY)</t>
  </si>
  <si>
    <t>1111098572</t>
  </si>
  <si>
    <t>98572</t>
  </si>
  <si>
    <t>McCollum McCollum McCollum - 505 Holmes Road (MI)</t>
  </si>
  <si>
    <t>1111098553</t>
  </si>
  <si>
    <t>98553</t>
  </si>
  <si>
    <t>Jygayev - 153 Cornell Drive (NY)</t>
  </si>
  <si>
    <t>1111098778</t>
  </si>
  <si>
    <t>98778</t>
  </si>
  <si>
    <t>Zhou - 85 Madison Street (NJ)</t>
  </si>
  <si>
    <t>1111098342</t>
  </si>
  <si>
    <t>98342</t>
  </si>
  <si>
    <t>Guo Zhou - 9305 Springwood Drive (TX)</t>
  </si>
  <si>
    <t>1111099340</t>
  </si>
  <si>
    <t>99340</t>
  </si>
  <si>
    <t>Mejia - 1001 Myrtle Road (VA)</t>
  </si>
  <si>
    <t>1111098993</t>
  </si>
  <si>
    <t>98993</t>
  </si>
  <si>
    <t>Scotton - 1425 Pearl Street (NY)</t>
  </si>
  <si>
    <t>1111099844</t>
  </si>
  <si>
    <t>99844</t>
  </si>
  <si>
    <t>Colmon - 1234 West Tucker Street (PA)</t>
  </si>
  <si>
    <t>1111097301</t>
  </si>
  <si>
    <t>97301</t>
  </si>
  <si>
    <t>Shalamberidze - 2456 Eighth street (NY)</t>
  </si>
  <si>
    <t>1111098822</t>
  </si>
  <si>
    <t>98822</t>
  </si>
  <si>
    <t>Lliguin Bernal Yupa - 410 Elmore Street (NY)</t>
  </si>
  <si>
    <t>1111099930</t>
  </si>
  <si>
    <t>99930</t>
  </si>
  <si>
    <t>Hamilton - 315 Garrett Street (KY)</t>
  </si>
  <si>
    <t>1111096476</t>
  </si>
  <si>
    <t>96476</t>
  </si>
  <si>
    <t>Roman Marino Sanchez - 3815 Northwest 22nd Terrace (FL)</t>
  </si>
  <si>
    <t>1111095893</t>
  </si>
  <si>
    <t>95893</t>
  </si>
  <si>
    <t>Marino Sanchez Roman - 3821</t>
  </si>
  <si>
    <t>1111095170</t>
  </si>
  <si>
    <t>95170</t>
  </si>
  <si>
    <t>Northwest 22nd Terrace (FL) Alvarado - 57 West 6th Street (NY)</t>
  </si>
  <si>
    <t>1111100100</t>
  </si>
  <si>
    <t>100100</t>
  </si>
  <si>
    <t>Calderon - 93 Tersana Drive (CT)</t>
  </si>
  <si>
    <t>1111100387</t>
  </si>
  <si>
    <t>100387</t>
  </si>
  <si>
    <t>Benjamin Edwards - 529A Quincy Street (NY)</t>
  </si>
  <si>
    <t>1111096474</t>
  </si>
  <si>
    <t>96474</t>
  </si>
  <si>
    <t>Weston Nappi - 4234 Alafia Boulevard (FL)</t>
  </si>
  <si>
    <t>1111096746</t>
  </si>
  <si>
    <t>96746</t>
  </si>
  <si>
    <t>Vasquez - 105 South Bedford Avenue (NY)</t>
  </si>
  <si>
    <t>1111099530</t>
  </si>
  <si>
    <t>99530</t>
  </si>
  <si>
    <t>Khan - 22 Robin Place (NJ)</t>
  </si>
  <si>
    <t>1111100469</t>
  </si>
  <si>
    <t>100469</t>
  </si>
  <si>
    <t>Koulen - 948 Walker Avenue (NY)</t>
  </si>
  <si>
    <t>1111099043</t>
  </si>
  <si>
    <t>99043</t>
  </si>
  <si>
    <t>Altieri - 29 Liberty Street (CT)</t>
  </si>
  <si>
    <t>1111098215</t>
  </si>
  <si>
    <t>98215</t>
  </si>
  <si>
    <t>Licona Bonilla Nunez - 100 North Brookhaven Drive (KY)</t>
  </si>
  <si>
    <t>1111097804</t>
  </si>
  <si>
    <t>97804</t>
  </si>
  <si>
    <t>Houff Adams - 3999 Manning Road (VA)</t>
  </si>
  <si>
    <t>1111096695</t>
  </si>
  <si>
    <t>96695</t>
  </si>
  <si>
    <t>Perez Valles - 111 A Wood Avenue (NY)</t>
  </si>
  <si>
    <t>1111100494</t>
  </si>
  <si>
    <t>100494</t>
  </si>
  <si>
    <t>Pacheco - 6 Hilliard Avenue (NY)</t>
  </si>
  <si>
    <t>1111098123</t>
  </si>
  <si>
    <t>98123</t>
  </si>
  <si>
    <t>Lavi Ohabi - 37 Deal Road (NY)</t>
  </si>
  <si>
    <t>1111098651</t>
  </si>
  <si>
    <t>98651</t>
  </si>
  <si>
    <t>Lavi Ohabi - 330 Wortman Avenue (NY)</t>
  </si>
  <si>
    <t>1111098552</t>
  </si>
  <si>
    <t>98552</t>
  </si>
  <si>
    <t>Mikell - 562 1st Avenue (NY)</t>
  </si>
  <si>
    <t>1111096470</t>
  </si>
  <si>
    <t>96470</t>
  </si>
  <si>
    <t>Kosse Chernoknyzhnyy -</t>
  </si>
  <si>
    <t>1111096468</t>
  </si>
  <si>
    <t>96468</t>
  </si>
  <si>
    <t>Kosse Kozlov - 14192 Fort Myers Avenue (FL)</t>
  </si>
  <si>
    <t>1111101244</t>
  </si>
  <si>
    <t>101244</t>
  </si>
  <si>
    <t>Maldonado - 319 West Ridgewood Court (TX)</t>
  </si>
  <si>
    <t>1111097782</t>
  </si>
  <si>
    <t>97782</t>
  </si>
  <si>
    <t>Patton - 1317 Southwest 6th Avenue (TX)</t>
  </si>
  <si>
    <t>1111101597</t>
  </si>
  <si>
    <t>101597</t>
  </si>
  <si>
    <t>Powell Powell - 406 Coulter Avenue (FL)</t>
  </si>
  <si>
    <t>1111100097</t>
  </si>
  <si>
    <t>100097</t>
  </si>
  <si>
    <t>Johnson Johnson Johnson - 1638 Cole Street (MD)</t>
  </si>
  <si>
    <t>1111101647</t>
  </si>
  <si>
    <t>101647</t>
  </si>
  <si>
    <t>Santiago - 395 Emmett Whaley Road (FL)</t>
  </si>
  <si>
    <t>1111098820</t>
  </si>
  <si>
    <t>98820</t>
  </si>
  <si>
    <t>Lliguin Bernal Yupa - 12 Ida Lane (NY)</t>
  </si>
  <si>
    <t>1111100267</t>
  </si>
  <si>
    <t>100267</t>
  </si>
  <si>
    <t>Hammond - 89-93 Orchard Street (MA)</t>
  </si>
  <si>
    <t>1111099258</t>
  </si>
  <si>
    <t>99258</t>
  </si>
  <si>
    <t>Crawford - 617 Riverside Drive (PA)/615 Riverside Drive (PA)</t>
  </si>
  <si>
    <t>1111100098</t>
  </si>
  <si>
    <t>100098</t>
  </si>
  <si>
    <t>Dominguez - 112 South Hillside Avenue (NY)</t>
  </si>
  <si>
    <t>1111101028</t>
  </si>
  <si>
    <t>101028</t>
  </si>
  <si>
    <t>Ramos Cochran - 168 Entranosa Court (NM)</t>
  </si>
  <si>
    <t>1111102320</t>
  </si>
  <si>
    <t>102320</t>
  </si>
  <si>
    <t>(NY) Alberson - 8751 Wren Dr (FL)</t>
  </si>
  <si>
    <t>1111098748</t>
  </si>
  <si>
    <t>98748</t>
  </si>
  <si>
    <t>Lundy Legere - 1606 Spring Street (NY)</t>
  </si>
  <si>
    <t>1111101825</t>
  </si>
  <si>
    <t>101825</t>
  </si>
  <si>
    <t>Lape - 1351 Mann Avenue Northwest (FL)</t>
  </si>
  <si>
    <t>1111101860</t>
  </si>
  <si>
    <t>101860</t>
  </si>
  <si>
    <t>Houff Houff - 7929 Pythian Avenue (VA)</t>
  </si>
  <si>
    <t>1111101336</t>
  </si>
  <si>
    <t>101336</t>
  </si>
  <si>
    <t>DAVIS - 247 Hawthorne Street (NY)</t>
  </si>
  <si>
    <t>1111099521</t>
  </si>
  <si>
    <t>99521</t>
  </si>
  <si>
    <t>Patton - 2507 Northeast 2nd Street (TX)</t>
  </si>
  <si>
    <t>1111096286</t>
  </si>
  <si>
    <t>96286</t>
  </si>
  <si>
    <t>Lavi Ohabi - 517 Laurelton Boulevard (NY)</t>
  </si>
  <si>
    <t>1111101689</t>
  </si>
  <si>
    <t>101689</t>
  </si>
  <si>
    <t>Lilly Lilly - 6716 Linmore Avenue (PA)</t>
  </si>
  <si>
    <t>1111101775</t>
  </si>
  <si>
    <t>101775</t>
  </si>
  <si>
    <t>Panagiotakos Panagiotakos - 756 Mount Sinai-Coram Road (NY)</t>
  </si>
  <si>
    <t>1111102728</t>
  </si>
  <si>
    <t>102728</t>
  </si>
  <si>
    <t>Melendez - 1537 Agate Street (NY)</t>
  </si>
  <si>
    <t>1111101746</t>
  </si>
  <si>
    <t>101746</t>
  </si>
  <si>
    <t>Minhas Gera - 53 Blackbird Lane (NY)</t>
  </si>
  <si>
    <t>1111100099</t>
  </si>
  <si>
    <t>100099</t>
  </si>
  <si>
    <t>Alban - 23 Osprey Road (NY)</t>
  </si>
  <si>
    <t>1111103021</t>
  </si>
  <si>
    <t>103021</t>
  </si>
  <si>
    <t>Ladd - 22 Marion Avenue (NY)</t>
  </si>
  <si>
    <t>1111102353</t>
  </si>
  <si>
    <t>102353</t>
  </si>
  <si>
    <t>Patton - 1604 Southeast 25th Avenue (TX)</t>
  </si>
  <si>
    <t>1111102637</t>
  </si>
  <si>
    <t>102637</t>
  </si>
  <si>
    <t>Javiel Beltran Melendez - 24-A South Main Street (CT)</t>
  </si>
  <si>
    <t>1111101935</t>
  </si>
  <si>
    <t>101935</t>
  </si>
  <si>
    <t>Robinson - 18026 Reynolds Parkway (FL)</t>
  </si>
  <si>
    <t>1111102405</t>
  </si>
  <si>
    <t>102405</t>
  </si>
  <si>
    <t>Weberman Kohn - 623 2nd Street (NY)</t>
  </si>
  <si>
    <t>1111103052</t>
  </si>
  <si>
    <t>103052</t>
  </si>
  <si>
    <t>RAMIREZ - 665 Miller Avenue (NY)</t>
  </si>
  <si>
    <t>1111103135</t>
  </si>
  <si>
    <t>103135</t>
  </si>
  <si>
    <t>Pena - 132 Franklin Avenue (NJ)</t>
  </si>
  <si>
    <t>1111098461</t>
  </si>
  <si>
    <t>98461</t>
  </si>
  <si>
    <t>Molina - 105-20 32nd Avenue (NY)</t>
  </si>
  <si>
    <t>1111103257</t>
  </si>
  <si>
    <t>103257</t>
  </si>
  <si>
    <t>Spencer - 105 Jewett Street (MA)</t>
  </si>
  <si>
    <t>1111101541</t>
  </si>
  <si>
    <t>101541</t>
  </si>
  <si>
    <t>Hernandez Smith - 13 Catie Lane (PA)</t>
  </si>
  <si>
    <t>1111102174</t>
  </si>
  <si>
    <t>102174</t>
  </si>
  <si>
    <t>Lavi Ohabi - 103-34 110th Street (NY)</t>
  </si>
  <si>
    <t>1111100805</t>
  </si>
  <si>
    <t>100805</t>
  </si>
  <si>
    <t>Silver - 92 Washington Avenue (NY)</t>
  </si>
  <si>
    <t>1111103054</t>
  </si>
  <si>
    <t>103054</t>
  </si>
  <si>
    <t>Ramos Cochran - 10431 Crosscut Drive Northwest (NM)</t>
  </si>
  <si>
    <t>1111103269</t>
  </si>
  <si>
    <t>103269</t>
  </si>
  <si>
    <t>Navarro - 205 South 12th Street (NY)</t>
  </si>
  <si>
    <t>1111103599</t>
  </si>
  <si>
    <t>103599</t>
  </si>
  <si>
    <t>Singh - 2534 Cypress Avenue (NY)</t>
  </si>
  <si>
    <t>1111101937</t>
  </si>
  <si>
    <t>101937</t>
  </si>
  <si>
    <t>Crawford - 3225 42nd Street (LA)</t>
  </si>
  <si>
    <t>1111102864</t>
  </si>
  <si>
    <t>102864</t>
  </si>
  <si>
    <t>Weberman Kohn - 551-553 4th Avenue (NY)</t>
  </si>
  <si>
    <t>1111104132</t>
  </si>
  <si>
    <t>104132</t>
  </si>
  <si>
    <t>English - 2215 Blue Lake Drive (FL)</t>
  </si>
  <si>
    <t>1111101738</t>
  </si>
  <si>
    <t>101738</t>
  </si>
  <si>
    <t>Benoit Benoit - 32 Penndale Drive (NY)</t>
  </si>
  <si>
    <t>1111103619</t>
  </si>
  <si>
    <t>103619</t>
  </si>
  <si>
    <t>Singh Singh - 41 Coachman Lane (NY)</t>
  </si>
  <si>
    <t>1111101854</t>
  </si>
  <si>
    <t>101854</t>
  </si>
  <si>
    <t>Sanchez - 36 Musket Drive (NY)</t>
  </si>
  <si>
    <t>1111103582</t>
  </si>
  <si>
    <t>103582</t>
  </si>
  <si>
    <t>Ladd - 292 Washington Street (NY)</t>
  </si>
  <si>
    <t>1111103852</t>
  </si>
  <si>
    <t>103852</t>
  </si>
  <si>
    <t>Inestroza - 4628 Anita Avenue North (FL)</t>
  </si>
  <si>
    <t>1111103781</t>
  </si>
  <si>
    <t>103781</t>
  </si>
  <si>
    <t>Wilson - 27 South Monastery Avenue (MD)</t>
  </si>
  <si>
    <t>1111104045</t>
  </si>
  <si>
    <t>104045</t>
  </si>
  <si>
    <t>Carcamo - 160 Scudder Avenue (NY)</t>
  </si>
  <si>
    <t>1111103208</t>
  </si>
  <si>
    <t>103208</t>
  </si>
  <si>
    <t>Castillo Cumbicus - 102 Liberty Corner Rd (NJ)</t>
  </si>
  <si>
    <t>1111104468</t>
  </si>
  <si>
    <t>104468</t>
  </si>
  <si>
    <t>Espinal - 385 Clayton Street (NY)</t>
  </si>
  <si>
    <t>1111104388</t>
  </si>
  <si>
    <t>104388</t>
  </si>
  <si>
    <t>Fenley - 2103 Saint James Drive (TN)</t>
  </si>
  <si>
    <t>1111103502</t>
  </si>
  <si>
    <t>103502</t>
  </si>
  <si>
    <t>Quddus - 109 Remington Avenue (NY)</t>
  </si>
  <si>
    <t>1111102692</t>
  </si>
  <si>
    <t>102692</t>
  </si>
  <si>
    <t>Saldana - 41 S Oregon Rd (NY)</t>
  </si>
  <si>
    <t>1111103726</t>
  </si>
  <si>
    <t>103726</t>
  </si>
  <si>
    <t>Patton - Lot 6 SW 13th St (TX)</t>
  </si>
  <si>
    <t>1111103910</t>
  </si>
  <si>
    <t>103910</t>
  </si>
  <si>
    <t>Patton - Lot 2 Southwest 13th Street (TX)</t>
  </si>
  <si>
    <t>1111103913</t>
  </si>
  <si>
    <t>103913</t>
  </si>
  <si>
    <t>Patton - Lot 4 Southwest 13th Street (TX)</t>
  </si>
  <si>
    <t>1111103909</t>
  </si>
  <si>
    <t>103909</t>
  </si>
  <si>
    <t>Patton - 1315 Southwest 2nd Avenue (TX)</t>
  </si>
  <si>
    <t>1111103914</t>
  </si>
  <si>
    <t>103914</t>
  </si>
  <si>
    <t>Patton - Lot 5 Southwest 13th Street (TX)</t>
  </si>
  <si>
    <t>1111103911</t>
  </si>
  <si>
    <t>103911</t>
  </si>
  <si>
    <t>Patton - Lot 3 Southwest 13th Street (TX)</t>
  </si>
  <si>
    <t>1111102636</t>
  </si>
  <si>
    <t>102636</t>
  </si>
  <si>
    <t>Lopez - 930 Park Drive (NY)</t>
  </si>
  <si>
    <t>1111104223</t>
  </si>
  <si>
    <t>104223</t>
  </si>
  <si>
    <t>Ozgurcag Eskipehlivan - 32 North Bay Avenue (NY)</t>
  </si>
  <si>
    <t>1111104652</t>
  </si>
  <si>
    <t>104652</t>
  </si>
  <si>
    <t>Shah - 138-41 230th Place (NY)</t>
  </si>
  <si>
    <t>1111104839</t>
  </si>
  <si>
    <t>104839</t>
  </si>
  <si>
    <t>Lagrange Brito Soto - 50 Brefni Street (NY)</t>
  </si>
  <si>
    <t>1111103161</t>
  </si>
  <si>
    <t>103161</t>
  </si>
  <si>
    <t>Navarro Navarro - 31 Fuller Avenue (NY)</t>
  </si>
  <si>
    <t>1111104240</t>
  </si>
  <si>
    <t>104240</t>
  </si>
  <si>
    <t>Maleh - 2107 4th Street Northeast (FL)</t>
  </si>
  <si>
    <t>1111088177</t>
  </si>
  <si>
    <t>88177</t>
  </si>
  <si>
    <t>Fajardo Guevara Fajardo - 50 Squires Avenue (NY)</t>
  </si>
  <si>
    <t>1111104445</t>
  </si>
  <si>
    <t>104445</t>
  </si>
  <si>
    <t>Louis - 94 Columbia Street (NY)</t>
  </si>
  <si>
    <t>1111105486</t>
  </si>
  <si>
    <t>105486</t>
  </si>
  <si>
    <t>Weberman Kohn - 436 Clinton Avenue (NY)</t>
  </si>
  <si>
    <t>1111103398</t>
  </si>
  <si>
    <t>103398</t>
  </si>
  <si>
    <t>Singh Perticone - 2056 Stratford Drive (NY)</t>
  </si>
  <si>
    <t>1111101812</t>
  </si>
  <si>
    <t>101812</t>
  </si>
  <si>
    <t>Crawford - 25 Scenic Drive (PA)</t>
  </si>
  <si>
    <t>1111104770</t>
  </si>
  <si>
    <t>104770</t>
  </si>
  <si>
    <t>Kohn - 251 Delaware Avenue</t>
  </si>
  <si>
    <t>1111104375</t>
  </si>
  <si>
    <t>104375</t>
  </si>
  <si>
    <t>Dada - 7537 Union Grove Road (GA)</t>
  </si>
  <si>
    <t>1111104193</t>
  </si>
  <si>
    <t>104193</t>
  </si>
  <si>
    <t>Rucks - 595 West Columbia Street (FL)</t>
  </si>
  <si>
    <t>1111104226</t>
  </si>
  <si>
    <t>104226</t>
  </si>
  <si>
    <t>Carcamo - 1 Atna Dr (NY)</t>
  </si>
  <si>
    <t>1111103084</t>
  </si>
  <si>
    <t>103084</t>
  </si>
  <si>
    <t>DAVIS - 30 Somerset Avenue (NY)</t>
  </si>
  <si>
    <t>1111105115</t>
  </si>
  <si>
    <t>105115</t>
  </si>
  <si>
    <t>Ohabi Lavi - 1180 Woodfield Road (NY)</t>
  </si>
  <si>
    <t>1111104419</t>
  </si>
  <si>
    <t>104419</t>
  </si>
  <si>
    <t>Ortiz - 51 Sycamore Drive (NY)</t>
  </si>
  <si>
    <t>1111105415</t>
  </si>
  <si>
    <t>105415</t>
  </si>
  <si>
    <t>Espinoza Guncay - 172-01 Victoria Drive (NY)</t>
  </si>
  <si>
    <t>1111105976</t>
  </si>
  <si>
    <t>105976</t>
  </si>
  <si>
    <t>SURIS LOBOSCO - 1039 Carll Drive (NY)</t>
  </si>
  <si>
    <t>1111104025</t>
  </si>
  <si>
    <t>104025</t>
  </si>
  <si>
    <t>Kholyavka Roman Marino Sanchez - 10860 McAlester Cir (FL)</t>
  </si>
  <si>
    <t>1111105393</t>
  </si>
  <si>
    <t>105393</t>
  </si>
  <si>
    <t>Telman - 3212 Normount Avenue (MD)</t>
  </si>
  <si>
    <t>1111104601</t>
  </si>
  <si>
    <t>104601</t>
  </si>
  <si>
    <t>Damato - 947 2nd Avenue (NY)</t>
  </si>
  <si>
    <t>1111104960</t>
  </si>
  <si>
    <t>104960</t>
  </si>
  <si>
    <t>Eashwayne Anthony - 997 Metropolitan Parkway Southwest (GA)</t>
  </si>
  <si>
    <t>1111105721</t>
  </si>
  <si>
    <t>105721</t>
  </si>
  <si>
    <t>Amarillo - 4 Lolly Lane (NY)</t>
  </si>
  <si>
    <t>1111104407</t>
  </si>
  <si>
    <t>104407</t>
  </si>
  <si>
    <t>Kagan Kosse - 14200 Fort Myers Avenue (FL)</t>
  </si>
  <si>
    <t>1111106204</t>
  </si>
  <si>
    <t>106204</t>
  </si>
  <si>
    <t>Jugdeo Sleeba - 1167 Warwick Street (NY)</t>
  </si>
  <si>
    <t>1111105108</t>
  </si>
  <si>
    <t>105108</t>
  </si>
  <si>
    <t>English English - 2014 Church Street (FL)</t>
  </si>
  <si>
    <t>1111104614</t>
  </si>
  <si>
    <t>104614</t>
  </si>
  <si>
    <t>Henriquez - 160 Van Street (NY)</t>
  </si>
  <si>
    <t>1111105126</t>
  </si>
  <si>
    <t>105126</t>
  </si>
  <si>
    <t>Parray - 249 Claywood Drive (NY)</t>
  </si>
  <si>
    <t>1111105278</t>
  </si>
  <si>
    <t>105278</t>
  </si>
  <si>
    <t>Amdur - 3634 Moyer Rd (NY)</t>
  </si>
  <si>
    <t>1111105120</t>
  </si>
  <si>
    <t>105120</t>
  </si>
  <si>
    <t>Sarcona - 109 David Whites Lane (NY)</t>
  </si>
  <si>
    <t>1111106056</t>
  </si>
  <si>
    <t>106056</t>
  </si>
  <si>
    <t>Gore - 424 Keels Avenue (SC)</t>
  </si>
  <si>
    <t>1111103565</t>
  </si>
  <si>
    <t>103565</t>
  </si>
  <si>
    <t>Nunez - 62 Judith Drive (NY)</t>
  </si>
  <si>
    <t>1111106106</t>
  </si>
  <si>
    <t>106106</t>
  </si>
  <si>
    <t>Thaddeus Ugha - 3210 Centerville Rosebud Road (GA)</t>
  </si>
  <si>
    <t>1111105002</t>
  </si>
  <si>
    <t>105002</t>
  </si>
  <si>
    <t>Velasquez - 357 Deer Park Road (NY)</t>
  </si>
  <si>
    <t>1111106477</t>
  </si>
  <si>
    <t>106477</t>
  </si>
  <si>
    <t>Rodriguez - 37 Cedar Branch Street (NY)</t>
  </si>
  <si>
    <t>1111104196</t>
  </si>
  <si>
    <t>104196</t>
  </si>
  <si>
    <t>Thaddeus Ugha - 561 Paper Ridge Court (GA)</t>
  </si>
  <si>
    <t>1111105177</t>
  </si>
  <si>
    <t>105177</t>
  </si>
  <si>
    <t>Robles Carlos - 815 South 13th Street (NC)</t>
  </si>
  <si>
    <t>1111106041</t>
  </si>
  <si>
    <t>106041</t>
  </si>
  <si>
    <t>Sabogal Zaccaria</t>
  </si>
  <si>
    <t>1111106826</t>
  </si>
  <si>
    <t>106826</t>
  </si>
  <si>
    <t>Sanchez - 6332 Southwest 28th Street (FL) Parray - 154 Charter Oaks Avenue (NY)</t>
  </si>
  <si>
    <t>1111098357</t>
  </si>
  <si>
    <t>98357</t>
  </si>
  <si>
    <t>Valles Eliacin - 1910 14th Avenue South (FL)</t>
  </si>
  <si>
    <t>1111107363</t>
  </si>
  <si>
    <t>107363</t>
  </si>
  <si>
    <t>Rager - 722 32nd Street (VA)</t>
  </si>
  <si>
    <t>1111106777</t>
  </si>
  <si>
    <t>106777</t>
  </si>
  <si>
    <t>March - 409 Bay Avenue (NY)</t>
  </si>
  <si>
    <t>1111100894</t>
  </si>
  <si>
    <t>100894</t>
  </si>
  <si>
    <t>Siddiqi - 3 mapleridge Ave (NY)</t>
  </si>
  <si>
    <t>1111106547</t>
  </si>
  <si>
    <t>106547</t>
  </si>
  <si>
    <t>Perez - 329 Desota Avenue (NJ)</t>
  </si>
  <si>
    <t>1111106859</t>
  </si>
  <si>
    <t>106859</t>
  </si>
  <si>
    <t>English - 407 North C Street (FL)</t>
  </si>
  <si>
    <t>1111105599</t>
  </si>
  <si>
    <t>105599</t>
  </si>
  <si>
    <t>Loffredo - 12 Andover Place (NY)</t>
  </si>
  <si>
    <t>1111105385</t>
  </si>
  <si>
    <t>105385</t>
  </si>
  <si>
    <t>Regalado - 673 South Orlando Avenue (FL)</t>
  </si>
  <si>
    <t>1111107916</t>
  </si>
  <si>
    <t>107916</t>
  </si>
  <si>
    <t>Gupta - 1933 Northcutt Avenue (OH)</t>
  </si>
  <si>
    <t>1111103542</t>
  </si>
  <si>
    <t>103542</t>
  </si>
  <si>
    <t>McAuliffe - 733 Southwest Acapulco Terrace (FL)</t>
  </si>
  <si>
    <t>1111102649</t>
  </si>
  <si>
    <t>102649</t>
  </si>
  <si>
    <t>Bernal Yupa - 86 Wilson Avenue (NY)</t>
  </si>
  <si>
    <t>1111106922</t>
  </si>
  <si>
    <t>106922</t>
  </si>
  <si>
    <t>Conce Conce - 561 Birch Hollow Drive</t>
  </si>
  <si>
    <t>1111098981</t>
  </si>
  <si>
    <t>98981</t>
  </si>
  <si>
    <t>(NY) Valles - 1819 13th Avenue South (FL)</t>
  </si>
  <si>
    <t>1111108101</t>
  </si>
  <si>
    <t>108101</t>
  </si>
  <si>
    <t>Kohn Weberman - 19 Glen Avenue (NY)</t>
  </si>
  <si>
    <t>1111106394</t>
  </si>
  <si>
    <t>106394</t>
  </si>
  <si>
    <t>Weberman Kohn - 14 Pennsylvania Avenue (NY)</t>
  </si>
  <si>
    <t>1111105485</t>
  </si>
  <si>
    <t>105485</t>
  </si>
  <si>
    <t>Thaddeus Ugha Akanmu - 4287 Matisse Lane (GA)</t>
  </si>
  <si>
    <t>1111107927</t>
  </si>
  <si>
    <t>107927</t>
  </si>
  <si>
    <t>Loffredo - 125 Boden Avenue (NY)</t>
  </si>
  <si>
    <t>1111108205</t>
  </si>
  <si>
    <t>108205</t>
  </si>
  <si>
    <t>Parveen - 14220 Fallbrook Lane (VA)</t>
  </si>
  <si>
    <t>1111107716</t>
  </si>
  <si>
    <t>107716</t>
  </si>
  <si>
    <t>Mcnulty - 16 Hall Avenue (PA)</t>
  </si>
  <si>
    <t>1111108244</t>
  </si>
  <si>
    <t>108244</t>
  </si>
  <si>
    <t>Brown Brown - 3072 Will Rogers Place Southeast (GA)</t>
  </si>
  <si>
    <t>1111106857</t>
  </si>
  <si>
    <t>106857</t>
  </si>
  <si>
    <t>Lopez - 144 Cornell St (NY)</t>
  </si>
  <si>
    <t>1111106392</t>
  </si>
  <si>
    <t>106392</t>
  </si>
  <si>
    <t>Hockaday Washington - 2555 North 33rd Street (PA)</t>
  </si>
  <si>
    <t>1111106735</t>
  </si>
  <si>
    <t>106735</t>
  </si>
  <si>
    <t>Vasquez - 28 Lexington Avenue (NY)</t>
  </si>
  <si>
    <t>1111108624</t>
  </si>
  <si>
    <t>108624</t>
  </si>
  <si>
    <t>Singh Singh - 14 Eve Lane (NY)</t>
  </si>
  <si>
    <t>1111106936</t>
  </si>
  <si>
    <t>106936</t>
  </si>
  <si>
    <t>Johnson Johnson Johnson - 1148 Sargeant Street (MD)</t>
  </si>
  <si>
    <t>1111108562</t>
  </si>
  <si>
    <t>108562</t>
  </si>
  <si>
    <t>Votta - 59 Old East Neck Road (NY)</t>
  </si>
  <si>
    <t>1111107850</t>
  </si>
  <si>
    <t>107850</t>
  </si>
  <si>
    <t>Tacuri - 218-17 109th Avenue (NY)</t>
  </si>
  <si>
    <t>1111108018</t>
  </si>
  <si>
    <t>108018</t>
  </si>
  <si>
    <t>Kelly - 26 Pine Tree Road (NY)</t>
  </si>
  <si>
    <t>1111106295</t>
  </si>
  <si>
    <t>106295</t>
  </si>
  <si>
    <t>Conce Conce - 12</t>
  </si>
  <si>
    <t>1111108156</t>
  </si>
  <si>
    <t>108156</t>
  </si>
  <si>
    <t>Breitner - 1814 Balkan Place (OH)/1816 Balkan Place (OH)</t>
  </si>
  <si>
    <t>1111107645</t>
  </si>
  <si>
    <t>107645</t>
  </si>
  <si>
    <t>Careccia Scalone - 2 Myrtle Lane (NY)</t>
  </si>
  <si>
    <t>1111109229</t>
  </si>
  <si>
    <t>109229</t>
  </si>
  <si>
    <t>Gera - 38 Birch Lane (NY)</t>
  </si>
  <si>
    <t>1111100655</t>
  </si>
  <si>
    <t>100655</t>
  </si>
  <si>
    <t>Guazhambo Inga - 11 Wildwood Road (NY)</t>
  </si>
  <si>
    <t>1111108336</t>
  </si>
  <si>
    <t>108336</t>
  </si>
  <si>
    <t>Galanti - 30 Shell Road (NY)</t>
  </si>
  <si>
    <t>1111107461</t>
  </si>
  <si>
    <t>107461</t>
  </si>
  <si>
    <t>Sakkal - 2127 Haring Street (NY)</t>
  </si>
  <si>
    <t>1111109052</t>
  </si>
  <si>
    <t>109052</t>
  </si>
  <si>
    <t>Ramos Cochran - 8305 Shawnee Pl SE (NM)</t>
  </si>
  <si>
    <t>1111108348</t>
  </si>
  <si>
    <t>108348</t>
  </si>
  <si>
    <t>McSherry - 1778 23rd Street (FL)</t>
  </si>
  <si>
    <t>1111108561</t>
  </si>
  <si>
    <t>108561</t>
  </si>
  <si>
    <t>Kelly - 5 N Colonels Path (NY)</t>
  </si>
  <si>
    <t>1111108276</t>
  </si>
  <si>
    <t>108276</t>
  </si>
  <si>
    <t>Drechsler - 4 Reinhart Court (NY)</t>
  </si>
  <si>
    <t>1111109234</t>
  </si>
  <si>
    <t>109234</t>
  </si>
  <si>
    <t>Sodhi - 93 Stone Lane (NY)</t>
  </si>
  <si>
    <t>1111108422</t>
  </si>
  <si>
    <t>108422</t>
  </si>
  <si>
    <t>Paredes - 4 Farmstead Road (NY)</t>
  </si>
  <si>
    <t>1111105282</t>
  </si>
  <si>
    <t>105282</t>
  </si>
  <si>
    <t>Parray - 275 Beachview St (NY)</t>
  </si>
  <si>
    <t>1111107143</t>
  </si>
  <si>
    <t>107143</t>
  </si>
  <si>
    <t>Pomaquiza Suris - 101 Chestnut Street (NY)</t>
  </si>
  <si>
    <t>1111108310</t>
  </si>
  <si>
    <t>108310</t>
  </si>
  <si>
    <t>Ohabi Lavi - 37 Decatur Street (NY)</t>
  </si>
  <si>
    <t>1111108105</t>
  </si>
  <si>
    <t>108105</t>
  </si>
  <si>
    <t>Humodah - 104-11 205th Place (NY)</t>
  </si>
  <si>
    <t>1111109543</t>
  </si>
  <si>
    <t>109543</t>
  </si>
  <si>
    <t>Lopez - 168 Black Rock Avenue (CT)</t>
  </si>
  <si>
    <t>1111106350</t>
  </si>
  <si>
    <t>106350</t>
  </si>
  <si>
    <t>Houff Houff - 119 Mapleshade Avenue (VA)</t>
  </si>
  <si>
    <t>1111109736</t>
  </si>
  <si>
    <t>109736</t>
  </si>
  <si>
    <t>Newbill - 2710 Napier Avenue (GA)</t>
  </si>
  <si>
    <t>1111109449</t>
  </si>
  <si>
    <t>109449</t>
  </si>
  <si>
    <t>Weberman Kohn - 376 1st Street (NY)</t>
  </si>
  <si>
    <t>1111106450</t>
  </si>
  <si>
    <t>106450</t>
  </si>
  <si>
    <t>Manderzitsky - 924 River Road (NY)</t>
  </si>
  <si>
    <t>1111109527</t>
  </si>
  <si>
    <t>109527</t>
  </si>
  <si>
    <t>Garrido - 1269 Dekoven Street (NY)</t>
  </si>
  <si>
    <t>1111107084</t>
  </si>
  <si>
    <t>107084</t>
  </si>
  <si>
    <t>Salazar - 1070 Fordham Lane (NY)</t>
  </si>
  <si>
    <t>1111109987</t>
  </si>
  <si>
    <t>109987</t>
  </si>
  <si>
    <t>Ladd - 1911 Carroll Avenue (NY)</t>
  </si>
  <si>
    <t>1111105123</t>
  </si>
  <si>
    <t>105123</t>
  </si>
  <si>
    <t>Kosse Kosse - 14390 Maysville Circle (FL)</t>
  </si>
  <si>
    <t>1111104685</t>
  </si>
  <si>
    <t>104685</t>
  </si>
  <si>
    <t>Manderzitsky - 884 3rd Avenue (NY)</t>
  </si>
  <si>
    <t>1111109154</t>
  </si>
  <si>
    <t>109154</t>
  </si>
  <si>
    <t>Ortiz Allicock - 41 South Central Avenue (NY)</t>
  </si>
  <si>
    <t>1111109077</t>
  </si>
  <si>
    <t>109077</t>
  </si>
  <si>
    <t>Kumar Singh - 6 Elwood Avenue (NY)</t>
  </si>
  <si>
    <t>1111107719</t>
  </si>
  <si>
    <t>107719</t>
  </si>
  <si>
    <t>RAMIREZ Mendieta Rivera - 61 Prince Lane (NY)</t>
  </si>
  <si>
    <t>1111109912</t>
  </si>
  <si>
    <t>109912</t>
  </si>
  <si>
    <t>Beasley Beasley - 714 A Avenue (VA)</t>
  </si>
  <si>
    <t>1111106712</t>
  </si>
  <si>
    <t>106712</t>
  </si>
  <si>
    <t>Levaughn - 14 Morton Street (NY)</t>
  </si>
  <si>
    <t>1111109171</t>
  </si>
  <si>
    <t>109171</t>
  </si>
  <si>
    <t>Lusher - 55 Imlaystown Road (NJ)/59 Imlaystown Road (NJ)/57 Imlaystown Road (NJ)</t>
  </si>
  <si>
    <t>1111108981</t>
  </si>
  <si>
    <t>108981</t>
  </si>
  <si>
    <t>Cone Cone - 209 Loop Drive (NY)</t>
  </si>
  <si>
    <t>1111109104</t>
  </si>
  <si>
    <t>109104</t>
  </si>
  <si>
    <t>MANCHANDA Singh - 20 Briarwood Lane (NY)</t>
  </si>
  <si>
    <t>1111103128</t>
  </si>
  <si>
    <t>103128</t>
  </si>
  <si>
    <t>Myers Myers Muehlstein</t>
  </si>
  <si>
    <t>1111110207</t>
  </si>
  <si>
    <t>110207</t>
  </si>
  <si>
    <t>Muehlstein Hughes - Lot 11 Royal View Way (TN) Lusher - 51 Imlaystown Road (NJ)/53 Imlaystown Road (NJ)</t>
  </si>
  <si>
    <t>1111110410</t>
  </si>
  <si>
    <t>110410</t>
  </si>
  <si>
    <t>Casco - 2149 Isabell Ave (MI)</t>
  </si>
  <si>
    <t>1111110140</t>
  </si>
  <si>
    <t>110140</t>
  </si>
  <si>
    <t>Tenezaca Paucar - 3066 Coddington Avenue (NY)</t>
  </si>
  <si>
    <t>1111110007</t>
  </si>
  <si>
    <t>110007</t>
  </si>
  <si>
    <t>Cone Cone - 43 Circuit Road (NY)</t>
  </si>
  <si>
    <t>1111101862</t>
  </si>
  <si>
    <t>101862</t>
  </si>
  <si>
    <t>RAMIREZ - 1043 Delaware Avenue (NY)</t>
  </si>
  <si>
    <t>1111110401</t>
  </si>
  <si>
    <t>110401</t>
  </si>
  <si>
    <t>Dixon - 208 Phillips Street (SC)</t>
  </si>
  <si>
    <t>1111109965</t>
  </si>
  <si>
    <t>109965</t>
  </si>
  <si>
    <t>Harris - 2420 Lanrell Drive (FL)</t>
  </si>
  <si>
    <t>1111109585</t>
  </si>
  <si>
    <t>109585</t>
  </si>
  <si>
    <t>Argueta Paz - 452 Bicycle Path (NY)</t>
  </si>
  <si>
    <t>1111111085</t>
  </si>
  <si>
    <t>111085</t>
  </si>
  <si>
    <t>Beasley Beasley - 511 Appomattox Street (VA)</t>
  </si>
  <si>
    <t>1111110898</t>
  </si>
  <si>
    <t>110898</t>
  </si>
  <si>
    <t>dranikov - 349 North 62nd Street (PA)</t>
  </si>
  <si>
    <t>1111110573</t>
  </si>
  <si>
    <t>110573</t>
  </si>
  <si>
    <t>Dupree - 315 Marley Drive (GA)</t>
  </si>
  <si>
    <t>1111110024</t>
  </si>
  <si>
    <t>110024</t>
  </si>
  <si>
    <t>Riviera Rivera - 153 Waverly Road (NY)</t>
  </si>
  <si>
    <t>1111105173</t>
  </si>
  <si>
    <t>105173</t>
  </si>
  <si>
    <t>Bernal Yupa - 31 North Cozine Road (NY)</t>
  </si>
  <si>
    <t>1111106062</t>
  </si>
  <si>
    <t>106062</t>
  </si>
  <si>
    <t>Gera Singh - 8 Sandy Lane (NY)</t>
  </si>
  <si>
    <t>1111108598</t>
  </si>
  <si>
    <t>108598</t>
  </si>
  <si>
    <t>Ladd - 314 Main St. (NY)</t>
  </si>
  <si>
    <t>1111109316</t>
  </si>
  <si>
    <t>109316</t>
  </si>
  <si>
    <t>Buonanno Smith - 5 East Shore Lane (PA)</t>
  </si>
  <si>
    <t>1111111683</t>
  </si>
  <si>
    <t>111683</t>
  </si>
  <si>
    <t>Jaggi - 303 Woodbury Road (NY)</t>
  </si>
  <si>
    <t>1111110152</t>
  </si>
  <si>
    <t>110152</t>
  </si>
  <si>
    <t>Singh Singh - 2497 Balsam Avenue (NY)</t>
  </si>
  <si>
    <t>1111103735</t>
  </si>
  <si>
    <t>103735</t>
  </si>
  <si>
    <t>Lopez - 49 Meyer Street (NY)</t>
  </si>
  <si>
    <t>1111110603</t>
  </si>
  <si>
    <t>110603</t>
  </si>
  <si>
    <t>Henriquez - 33 West Belmont Street (NY)</t>
  </si>
  <si>
    <t>1111110021</t>
  </si>
  <si>
    <t>110021</t>
  </si>
  <si>
    <t>RODRIGUEZ Rodriguez - 15 Ocean Ave (NY)</t>
  </si>
  <si>
    <t>1111111301</t>
  </si>
  <si>
    <t>111301</t>
  </si>
  <si>
    <t>Kelly - 11 Colonels Path (NY)</t>
  </si>
  <si>
    <t>1111109977</t>
  </si>
  <si>
    <t>109977</t>
  </si>
  <si>
    <t>Henriquez - 74 Jerusalem Avenue (NY)</t>
  </si>
  <si>
    <t>1111111776</t>
  </si>
  <si>
    <t>111776</t>
  </si>
  <si>
    <t>Loffredo - 441 Roslyn Road (NY)</t>
  </si>
  <si>
    <t>1111102675</t>
  </si>
  <si>
    <t>102675</t>
  </si>
  <si>
    <t>Siddiqi - 9 Lawn Avenue (NY)</t>
  </si>
  <si>
    <t>1111111512</t>
  </si>
  <si>
    <t>111512</t>
  </si>
  <si>
    <t>LaBarbera - 5667 Creekwood Drive (FL)</t>
  </si>
  <si>
    <t>1111111205</t>
  </si>
  <si>
    <t>111205</t>
  </si>
  <si>
    <t>Liang Henderson - 801 West Navasota Street (TX)</t>
  </si>
  <si>
    <t>1111111190</t>
  </si>
  <si>
    <t>111190</t>
  </si>
  <si>
    <t>Hamilton - 791 Jarvis Avenue (KY)</t>
  </si>
  <si>
    <t>1111110878</t>
  </si>
  <si>
    <t>110878</t>
  </si>
  <si>
    <t>Brown Brown - 6265 Gemstone Court (GA)</t>
  </si>
  <si>
    <t>1111111729</t>
  </si>
  <si>
    <t>111729</t>
  </si>
  <si>
    <t>Singh Rajpal Singh</t>
  </si>
  <si>
    <t>1111111592</t>
  </si>
  <si>
    <t>111592</t>
  </si>
  <si>
    <t>- 43 West Cabot Lane (NY) Valencia - 55 Schleigel Boulevard (NY)</t>
  </si>
  <si>
    <t>1111110334</t>
  </si>
  <si>
    <t>110334</t>
  </si>
  <si>
    <t>Sleeba - 781 Union Drive (NY)</t>
  </si>
  <si>
    <t>1111096687</t>
  </si>
  <si>
    <t>96687</t>
  </si>
  <si>
    <t>Lavi Ohabi - 110 Northeast 152nd Street (FL)</t>
  </si>
  <si>
    <t>1111108696</t>
  </si>
  <si>
    <t>108696</t>
  </si>
  <si>
    <t>Mark - 19701 Kingsville Street (MI)</t>
  </si>
  <si>
    <t>1111107152</t>
  </si>
  <si>
    <t>107152</t>
  </si>
  <si>
    <t>Manderzitsky - 174 Congress Street (NY)</t>
  </si>
  <si>
    <t>1111111685</t>
  </si>
  <si>
    <t>111685</t>
  </si>
  <si>
    <t>Ahmed - 17011 88th Avenue (NY)</t>
  </si>
  <si>
    <t>1111106508</t>
  </si>
  <si>
    <t>106508</t>
  </si>
  <si>
    <t>Rodriguez - 89 East Clinton Avenue (NY)</t>
  </si>
  <si>
    <t>1111111284</t>
  </si>
  <si>
    <t>111284</t>
  </si>
  <si>
    <t>Inestroza - 1302 Lee Avenue (FL)</t>
  </si>
  <si>
    <t>1111111222</t>
  </si>
  <si>
    <t>111222</t>
  </si>
  <si>
    <t>Inestroza - 1304 Lee Avenue (FL)</t>
  </si>
  <si>
    <t>1111111869</t>
  </si>
  <si>
    <t>111869</t>
  </si>
  <si>
    <t>Rucks - 622 Pink Apartment Road (FL)</t>
  </si>
  <si>
    <t>1111111039</t>
  </si>
  <si>
    <t>111039</t>
  </si>
  <si>
    <t>Inestroza - 1308 Lee Avenue (FL)</t>
  </si>
  <si>
    <t>1111111167</t>
  </si>
  <si>
    <t>111167</t>
  </si>
  <si>
    <t>Inestroza - 1306 Lee Avenue (FL)</t>
  </si>
  <si>
    <t>1111110117</t>
  </si>
  <si>
    <t>110117</t>
  </si>
  <si>
    <t>Alicea - 1657 Pierpont Ave (SC)</t>
  </si>
  <si>
    <t>1111109207</t>
  </si>
  <si>
    <t>109207</t>
  </si>
  <si>
    <t>Evans - 291 Locust Drive (NY)</t>
  </si>
  <si>
    <t>1111108740</t>
  </si>
  <si>
    <t>108740</t>
  </si>
  <si>
    <t>Sadman - 1980 Cameron Avenue (NY)</t>
  </si>
  <si>
    <t>1111110561</t>
  </si>
  <si>
    <t>110561</t>
  </si>
  <si>
    <t>Villalona - 111 Bateman Place (NY)</t>
  </si>
  <si>
    <t>1111113067</t>
  </si>
  <si>
    <t>113067</t>
  </si>
  <si>
    <t>Santana - 430 Brook Bend Road (MA)</t>
  </si>
  <si>
    <t>1111112448</t>
  </si>
  <si>
    <t>112448</t>
  </si>
  <si>
    <t>Momotaz Palash - 1027 Wendell Avenue (NY)</t>
  </si>
  <si>
    <t>1111112928</t>
  </si>
  <si>
    <t>112928</t>
  </si>
  <si>
    <t>Ladd - 130 Toronto Avenue (NY)</t>
  </si>
  <si>
    <t>1111112533</t>
  </si>
  <si>
    <t>112533</t>
  </si>
  <si>
    <t>Shalamberidze - 7 Mead Lane (NY)</t>
  </si>
  <si>
    <t>1111113569</t>
  </si>
  <si>
    <t>113569</t>
  </si>
  <si>
    <t>Silver - 207 Wright St (NY)</t>
  </si>
  <si>
    <t>1111112953</t>
  </si>
  <si>
    <t>112953</t>
  </si>
  <si>
    <t>DeSane DeSane - 219 Sanzari Place (NJ)</t>
  </si>
  <si>
    <t>1111113095</t>
  </si>
  <si>
    <t>113095</t>
  </si>
  <si>
    <t>Kaur Rajpal - 227 Andrew Avenue (NY)</t>
  </si>
  <si>
    <t>1111111532</t>
  </si>
  <si>
    <t>111532</t>
  </si>
  <si>
    <t>Louis - 54 5th Street (NY)</t>
  </si>
  <si>
    <t>1111112782</t>
  </si>
  <si>
    <t>112782</t>
  </si>
  <si>
    <t>LOBOSCO - 3167 Morgan Drive (NY)</t>
  </si>
  <si>
    <t>1111112390</t>
  </si>
  <si>
    <t>112390</t>
  </si>
  <si>
    <t>Weberman Kohn - 726 5th Avenue (NY)</t>
  </si>
  <si>
    <t>1111112577</t>
  </si>
  <si>
    <t>112577</t>
  </si>
  <si>
    <t>Garcia Ribera - 149 Delaware Avenue (NY)</t>
  </si>
  <si>
    <t>1111107384</t>
  </si>
  <si>
    <t>107384</t>
  </si>
  <si>
    <t>Rager - 2814 Marshall Avenue (VA)</t>
  </si>
  <si>
    <t>1111111593</t>
  </si>
  <si>
    <t>111593</t>
  </si>
  <si>
    <t>Gallardo - 585 Elwood Road (NY)</t>
  </si>
  <si>
    <t>1111112576</t>
  </si>
  <si>
    <t>112576</t>
  </si>
  <si>
    <t>Osorio - 36 Storyland Lane (NY)</t>
  </si>
  <si>
    <t>1111114303</t>
  </si>
  <si>
    <t>114303</t>
  </si>
  <si>
    <t>Valencia - 17 Nadworny Lane (NY)</t>
  </si>
  <si>
    <t>1111112791</t>
  </si>
  <si>
    <t>112791</t>
  </si>
  <si>
    <t>Garcia-Porcayo - 190 Molokini Drive</t>
  </si>
  <si>
    <t>1111111334</t>
  </si>
  <si>
    <t>111334</t>
  </si>
  <si>
    <t>Gonzalez-Fuentes - 38 Frederick Avenue (NY)</t>
  </si>
  <si>
    <t>1111107335</t>
  </si>
  <si>
    <t>107335</t>
  </si>
  <si>
    <t>Delpiano - 30 Arnold Avenue (NY)</t>
  </si>
  <si>
    <t>1111113282</t>
  </si>
  <si>
    <t>113282</t>
  </si>
  <si>
    <t>Evora - 3028 6th Avenue (NY)</t>
  </si>
  <si>
    <t>1111113278</t>
  </si>
  <si>
    <t>113278</t>
  </si>
  <si>
    <t>Evora - 3006 6th Avenue (NY)</t>
  </si>
  <si>
    <t>1111110541</t>
  </si>
  <si>
    <t>110541</t>
  </si>
  <si>
    <t>Muheisen - 20-24 Madison Avenue (NJ)</t>
  </si>
  <si>
    <t>1111113318</t>
  </si>
  <si>
    <t>113318</t>
  </si>
  <si>
    <t>Montana - 59 Nelson Road (NY)</t>
  </si>
  <si>
    <t>1111113179</t>
  </si>
  <si>
    <t>113179</t>
  </si>
  <si>
    <t>Amdur - 349 Howard Drive (NY)</t>
  </si>
  <si>
    <t>1111112113</t>
  </si>
  <si>
    <t>112113</t>
  </si>
  <si>
    <t>Lavi Ohabi - 770 Dean Dr (NY)</t>
  </si>
  <si>
    <t>1111112520</t>
  </si>
  <si>
    <t>112520</t>
  </si>
  <si>
    <t>LaBarbera - 27 King Dr (NY)</t>
  </si>
  <si>
    <t>1111111260</t>
  </si>
  <si>
    <t>111260</t>
  </si>
  <si>
    <t>Bernal Yupa - 3 Petes Path a/k/a 414 Railroad Avenue (NY)</t>
  </si>
  <si>
    <t>1111114738</t>
  </si>
  <si>
    <t>114738</t>
  </si>
  <si>
    <t>Salambay - 741 Ocean Avenue (NY)</t>
  </si>
  <si>
    <t>1111114268</t>
  </si>
  <si>
    <t>114268</t>
  </si>
  <si>
    <t>Votta - 81 Old Broadway Avenue (NY)</t>
  </si>
  <si>
    <t>1111114048</t>
  </si>
  <si>
    <t>114048</t>
  </si>
  <si>
    <t>Sodhi - 21 Clay Lane (NY)</t>
  </si>
  <si>
    <t>1111112405</t>
  </si>
  <si>
    <t>112405</t>
  </si>
  <si>
    <t>DaCruz Santos - 1785 Dyson Street (MI)</t>
  </si>
  <si>
    <t>1111113120</t>
  </si>
  <si>
    <t>113120</t>
  </si>
  <si>
    <t>Wesolowski - 7 Magnolia Lane (NY)</t>
  </si>
  <si>
    <t>1111114372</t>
  </si>
  <si>
    <t>114372</t>
  </si>
  <si>
    <t>/208 West 29th Street (OH)/1934 Long Avenue (OH) Datta Kelly - 159 Rosewood Road (NY)</t>
  </si>
  <si>
    <t>1111111994</t>
  </si>
  <si>
    <t>111994</t>
  </si>
  <si>
    <t>Soto - 167 Silverleaf Lane (NY)</t>
  </si>
  <si>
    <t>1111112172</t>
  </si>
  <si>
    <t>112172</t>
  </si>
  <si>
    <t>Atieh Bremmer - 1784 Schenectady Avenue (NY)</t>
  </si>
  <si>
    <t>1111114661</t>
  </si>
  <si>
    <t>114661</t>
  </si>
  <si>
    <t>Rivera - 64 Burr Avenue (NY)</t>
  </si>
  <si>
    <t>1111114081</t>
  </si>
  <si>
    <t>114081</t>
  </si>
  <si>
    <t>Guayan - 30 Half Mile Road (NY)</t>
  </si>
  <si>
    <t>1111112655</t>
  </si>
  <si>
    <t>112655</t>
  </si>
  <si>
    <t>Engram - 6135 Spruce Street (PA)</t>
  </si>
  <si>
    <t>1111114742</t>
  </si>
  <si>
    <t>114742</t>
  </si>
  <si>
    <t>Shalamberidze - 2578 7th Avenue (NY)</t>
  </si>
  <si>
    <t>1111114625</t>
  </si>
  <si>
    <t>114625</t>
  </si>
  <si>
    <t>Gonzalez - 22 Kennedy Drive (NY)</t>
  </si>
  <si>
    <t>1111108366</t>
  </si>
  <si>
    <t>108366</t>
  </si>
  <si>
    <t>Lavi Ohabi - 162 State Street (NY)</t>
  </si>
  <si>
    <t>1111112869</t>
  </si>
  <si>
    <t>112869</t>
  </si>
  <si>
    <t>Oguntoye - 10920 Granger Road (OH)</t>
  </si>
  <si>
    <t>1111111595</t>
  </si>
  <si>
    <t>111595</t>
  </si>
  <si>
    <t>Allicock - 2017 Ladenburg Drive (NY)</t>
  </si>
  <si>
    <t>1111115128</t>
  </si>
  <si>
    <t>115128</t>
  </si>
  <si>
    <t>Garcia - 388 Maplegrove Avenue (NY)</t>
  </si>
  <si>
    <t>1111115478</t>
  </si>
  <si>
    <t>115478</t>
  </si>
  <si>
    <t>Garcia Garcia - 2960 Morgan Drive (NY)</t>
  </si>
  <si>
    <t>1111111996</t>
  </si>
  <si>
    <t>111996</t>
  </si>
  <si>
    <t>Amjad kumar - 3209 Juliet Street (PA)</t>
  </si>
  <si>
    <t>1111104379</t>
  </si>
  <si>
    <t>104379</t>
  </si>
  <si>
    <t>Rodriguez RODRIGUEZ - 297 East Columbia Street (NY)</t>
  </si>
  <si>
    <t>1111113174</t>
  </si>
  <si>
    <t>113174</t>
  </si>
  <si>
    <t>Hoodlebrink Stevenson - 426 South Washington Street (OH)</t>
  </si>
  <si>
    <t>1111115211</t>
  </si>
  <si>
    <t>115211</t>
  </si>
  <si>
    <t>Kelly - 3 Colonels Path (NY)</t>
  </si>
  <si>
    <t>1111115201</t>
  </si>
  <si>
    <t>115201</t>
  </si>
  <si>
    <t>Kelly - 9 Colonels Path (NY)</t>
  </si>
  <si>
    <t>1111115913</t>
  </si>
  <si>
    <t>115913</t>
  </si>
  <si>
    <t>Gonzalez - 1707 North Gardiner Drive (NY)</t>
  </si>
  <si>
    <t>1111116263</t>
  </si>
  <si>
    <t>116263</t>
  </si>
  <si>
    <t>Rugova - 445 Franklin Avenue (NY)</t>
  </si>
  <si>
    <t>1111116270</t>
  </si>
  <si>
    <t>116270</t>
  </si>
  <si>
    <t>Nortman Nortman - 25 Mayfair Avenue (NY)</t>
  </si>
  <si>
    <t>1111115776</t>
  </si>
  <si>
    <t>115776</t>
  </si>
  <si>
    <t>Ramos Cochran - 1618 Player Court (NM)</t>
  </si>
  <si>
    <t>1111113004</t>
  </si>
  <si>
    <t>113004</t>
  </si>
  <si>
    <t>Rajpal Kaur - 4203 Ludwig Lane (NY)</t>
  </si>
  <si>
    <t>1111112942</t>
  </si>
  <si>
    <t>112942</t>
  </si>
  <si>
    <t>PARADA Rivera - 600 Little East Neck Road (NY)</t>
  </si>
  <si>
    <t>1111114645</t>
  </si>
  <si>
    <t>114645</t>
  </si>
  <si>
    <t>Romero - 94-65 44th Avenue (NY)</t>
  </si>
  <si>
    <t>1111113192</t>
  </si>
  <si>
    <t>113192</t>
  </si>
  <si>
    <t>Palash Momotaz - 113 Clinton Street (NY)</t>
  </si>
  <si>
    <t>1111116555</t>
  </si>
  <si>
    <t>116555</t>
  </si>
  <si>
    <t>Grosso Johnson - 137 Charles Street (NY)</t>
  </si>
  <si>
    <t>1111110999</t>
  </si>
  <si>
    <t>110999</t>
  </si>
  <si>
    <t>Manderzitsky - 442 Broadway (NY)</t>
  </si>
  <si>
    <t>1111115219</t>
  </si>
  <si>
    <t>115219</t>
  </si>
  <si>
    <t>Rajput - 27 Landscape Drive (NY)</t>
  </si>
  <si>
    <t>1111114612</t>
  </si>
  <si>
    <t>114612</t>
  </si>
  <si>
    <t>Iadevaio Hock Hecht Hecht - 93 4th Avenue (NY)</t>
  </si>
  <si>
    <t>1111112938</t>
  </si>
  <si>
    <t>112938</t>
  </si>
  <si>
    <t>Ohabi Lavi - 6 Harold Avenue (NY)</t>
  </si>
  <si>
    <t>1111114675</t>
  </si>
  <si>
    <t>114675</t>
  </si>
  <si>
    <t>Conce Conce - 779</t>
  </si>
  <si>
    <t>1111115725</t>
  </si>
  <si>
    <t>115725</t>
  </si>
  <si>
    <t>Peconic Avenue (NY) Price Echavarria Higgins Hastings Daly - 3402 East 125th Street (OH)</t>
  </si>
  <si>
    <t>1111115471</t>
  </si>
  <si>
    <t>115471</t>
  </si>
  <si>
    <t>Conce Conce - 41 Madison Avenue (NY)</t>
  </si>
  <si>
    <t>1111115791</t>
  </si>
  <si>
    <t>115791</t>
  </si>
  <si>
    <t>Toledo Toledo - 21 Azalea Rd (NC)</t>
  </si>
  <si>
    <t>1111115710</t>
  </si>
  <si>
    <t>115710</t>
  </si>
  <si>
    <t>Kohn - 2513 5th Avenue (NY)</t>
  </si>
  <si>
    <t>1111115668</t>
  </si>
  <si>
    <t>115668</t>
  </si>
  <si>
    <t>Melendez - 147 Union Avenue (NY)</t>
  </si>
  <si>
    <t>1111104474</t>
  </si>
  <si>
    <t>104474</t>
  </si>
  <si>
    <t>Garcia - 746 Blackstone Avenue (NY)</t>
  </si>
  <si>
    <t>1111114637</t>
  </si>
  <si>
    <t>114637</t>
  </si>
  <si>
    <t>Sleeba - 154 Woodward Parkway (NY)</t>
  </si>
  <si>
    <t>1111114150</t>
  </si>
  <si>
    <t>114150</t>
  </si>
  <si>
    <t>Loffredo - 31 Cabin Lane (NY)</t>
  </si>
  <si>
    <t>1111115525</t>
  </si>
  <si>
    <t>115525</t>
  </si>
  <si>
    <t>Ramos Cochran - 3901 Big Sky Drive Northeast (NM)</t>
  </si>
  <si>
    <t>1111114899</t>
  </si>
  <si>
    <t>114899</t>
  </si>
  <si>
    <t>Penalo - 59 Manchester Road (NY)</t>
  </si>
  <si>
    <t>1111112904</t>
  </si>
  <si>
    <t>112904</t>
  </si>
  <si>
    <t>Ohabi Lavi - 871 Park Avenue (NY)</t>
  </si>
  <si>
    <t>1111063893</t>
  </si>
  <si>
    <t>63893</t>
  </si>
  <si>
    <t>Ohabi Lavi - 310 Fulton Street (NY)</t>
  </si>
  <si>
    <t>1111116907</t>
  </si>
  <si>
    <t>116907</t>
  </si>
  <si>
    <t>Miguel Maria - 15331 Allen Road (MI)</t>
  </si>
  <si>
    <t>1111116183</t>
  </si>
  <si>
    <t>116183</t>
  </si>
  <si>
    <t>Dominion Avenue (VA) Kelly - 7 Colonels Path (NY)</t>
  </si>
  <si>
    <t>1111115453</t>
  </si>
  <si>
    <t>115453</t>
  </si>
  <si>
    <t>Almonte Almonte - 227 North Railroad Avenue (NY)</t>
  </si>
  <si>
    <t>1111113672</t>
  </si>
  <si>
    <t>113672</t>
  </si>
  <si>
    <t>Jones - 4909 Northwest 27th Avenue (FL)</t>
  </si>
  <si>
    <t>1111117443</t>
  </si>
  <si>
    <t>117443</t>
  </si>
  <si>
    <t>Pacheco - 37 Linden Lane (NY)</t>
  </si>
  <si>
    <t>1111116217</t>
  </si>
  <si>
    <t>116217</t>
  </si>
  <si>
    <t>Garcia-Porcayo - Lot 1696 North Pohakea Drive (TX)</t>
  </si>
  <si>
    <t>1111116906</t>
  </si>
  <si>
    <t>116906</t>
  </si>
  <si>
    <t>Esposito Esposito Esposito - 887 Linden Avenue (NJ)</t>
  </si>
  <si>
    <t>1111117676</t>
  </si>
  <si>
    <t>117676</t>
  </si>
  <si>
    <t>Brincat Santiago - 2112 Bee Ridge Road (SC)</t>
  </si>
  <si>
    <t>1111107840</t>
  </si>
  <si>
    <t>107840</t>
  </si>
  <si>
    <t>Momotaz - 168 Southern Boulevard (NY)</t>
  </si>
  <si>
    <t>1111114845</t>
  </si>
  <si>
    <t>114845</t>
  </si>
  <si>
    <t>Kelly - 56 Aspen Lane (NY)</t>
  </si>
  <si>
    <t>1111116564</t>
  </si>
  <si>
    <t>116564</t>
  </si>
  <si>
    <t>Calderon - 33 Silverpine Drive (NY)</t>
  </si>
  <si>
    <t>1111113947</t>
  </si>
  <si>
    <t>113947</t>
  </si>
  <si>
    <t>Molina - 20 Westminster Drive (NY)</t>
  </si>
  <si>
    <t>1111116349</t>
  </si>
  <si>
    <t>116349</t>
  </si>
  <si>
    <t>Washington Bryant - 2171 Northwest 29th Avenue (FL)</t>
  </si>
  <si>
    <t>1111116611</t>
  </si>
  <si>
    <t>116611</t>
  </si>
  <si>
    <t>Rauenzahn - 1653 Mays Landing Somers Point Road (NJ)</t>
  </si>
  <si>
    <t>1111112687</t>
  </si>
  <si>
    <t>112687</t>
  </si>
  <si>
    <t>Palumbo - 502 Ocean Park Avenue (NJ)</t>
  </si>
  <si>
    <t>1111116053</t>
  </si>
  <si>
    <t>116053</t>
  </si>
  <si>
    <t>Garrido - 2675 Anthony Avenue (NY)</t>
  </si>
  <si>
    <t>1111117440</t>
  </si>
  <si>
    <t>117440</t>
  </si>
  <si>
    <t>Thaddeus Ugha - 3390 Park Glenn Ln (GA)</t>
  </si>
  <si>
    <t>1111118504</t>
  </si>
  <si>
    <t>118504</t>
  </si>
  <si>
    <t>Parraga Espin - 7 Reil Place (NY)</t>
  </si>
  <si>
    <t>1111118466</t>
  </si>
  <si>
    <t>118466</t>
  </si>
  <si>
    <t>Shalamberidze - 31 Friends Lane (NY)</t>
  </si>
  <si>
    <t>1111099692</t>
  </si>
  <si>
    <t>99692</t>
  </si>
  <si>
    <t>Moscoso - 20 Barnfield Court (NJ)</t>
  </si>
  <si>
    <t>1111114163</t>
  </si>
  <si>
    <t>114163</t>
  </si>
  <si>
    <t>nicalek - 80 INDIAN TRL N (NY)</t>
  </si>
  <si>
    <t>1111117013</t>
  </si>
  <si>
    <t>117013</t>
  </si>
  <si>
    <t>Calderon - 1 Martin Court (NY)</t>
  </si>
  <si>
    <t>1111118945</t>
  </si>
  <si>
    <t>118945</t>
  </si>
  <si>
    <t>Davis Davis - 7 Franklin Avenue (NJ)</t>
  </si>
  <si>
    <t>1111118520</t>
  </si>
  <si>
    <t>118520</t>
  </si>
  <si>
    <t>De Angelis Gabriel - 35 Wheeler Street (NJ)</t>
  </si>
  <si>
    <t>1111117664</t>
  </si>
  <si>
    <t>117664</t>
  </si>
  <si>
    <t>Lavi Ohabi - 4 Maxson Avenue (NY)</t>
  </si>
  <si>
    <t>TOTAL</t>
  </si>
  <si>
    <t>Interest Rate</t>
  </si>
  <si>
    <t>Cap Provider 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</si>
</sst>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%"/>
    <numFmt numFmtId="166" formatCode="\$#,##0;&quot;($&quot;#,##0\);\-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6" fontId="3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10" fontId="1" fillId="2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/>
    <xf numFmtId="10" fontId="0" fillId="0" borderId="1" xfId="0" applyNumberFormat="1" applyBorder="1"/>
    <xf numFmtId="10" fontId="0" fillId="0" borderId="0" xfId="0" applyNumberFormat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8"/>
  <sheetViews>
    <sheetView tabSelected="1" topLeftCell="C1" zoomScaleNormal="100" workbookViewId="0">
      <pane ySplit="1" topLeftCell="A2" activePane="bottomLeft" state="frozen"/>
      <selection pane="bottomLeft" activeCell="I21" sqref="I21"/>
    </sheetView>
  </sheetViews>
  <sheetFormatPr defaultColWidth="8.7109375" defaultRowHeight="15" x14ac:dyDescent="0.25"/>
  <cols>
    <col min="1" max="1" width="18" customWidth="1"/>
    <col min="2" max="2" width="14" customWidth="1"/>
    <col min="3" max="3" width="10" customWidth="1"/>
    <col min="4" max="4" width="42" hidden="1" customWidth="1"/>
    <col min="5" max="5" width="13" hidden="1" customWidth="1"/>
    <col min="6" max="6" width="13" customWidth="1"/>
    <col min="7" max="7" width="14" customWidth="1"/>
    <col min="8" max="9" width="14" style="12" customWidth="1"/>
    <col min="10" max="11" width="14" customWidth="1"/>
    <col min="12" max="12" width="15" customWidth="1"/>
    <col min="13" max="13" width="10" customWidth="1"/>
    <col min="14" max="14" width="8" customWidth="1"/>
    <col min="15" max="15" width="14" customWidth="1"/>
    <col min="16" max="17" width="13" customWidth="1"/>
    <col min="18" max="18" width="18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2253</v>
      </c>
      <c r="I1" s="9" t="s">
        <v>2254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 t="s">
        <v>16</v>
      </c>
      <c r="B2" s="2" t="s">
        <v>17</v>
      </c>
      <c r="C2" s="2" t="s">
        <v>18</v>
      </c>
      <c r="D2" s="2" t="s">
        <v>19</v>
      </c>
      <c r="E2" s="3">
        <v>43434</v>
      </c>
      <c r="F2" s="3">
        <v>45322</v>
      </c>
      <c r="G2" s="4">
        <v>0.2</v>
      </c>
      <c r="H2" s="10">
        <v>0.12</v>
      </c>
      <c r="I2" s="10">
        <v>9.6000000000000002E-2</v>
      </c>
      <c r="J2" s="5">
        <v>465000</v>
      </c>
      <c r="K2" s="5">
        <v>380985</v>
      </c>
      <c r="L2" s="5">
        <v>84015</v>
      </c>
      <c r="M2" s="4">
        <v>0.82</v>
      </c>
      <c r="N2" s="2">
        <v>3</v>
      </c>
      <c r="O2" s="5">
        <v>61585</v>
      </c>
      <c r="P2" s="5">
        <v>4805</v>
      </c>
      <c r="Q2" s="3">
        <v>45292</v>
      </c>
      <c r="R2" s="6">
        <f t="shared" ref="R2:R65" si="0">G2*K2</f>
        <v>76197</v>
      </c>
    </row>
    <row r="3" spans="1:18" x14ac:dyDescent="0.25">
      <c r="A3" s="2" t="s">
        <v>16</v>
      </c>
      <c r="B3" s="2" t="s">
        <v>20</v>
      </c>
      <c r="C3" s="2" t="s">
        <v>21</v>
      </c>
      <c r="D3" s="2" t="s">
        <v>22</v>
      </c>
      <c r="E3" s="3">
        <v>44279</v>
      </c>
      <c r="F3" s="3">
        <v>45490</v>
      </c>
      <c r="G3" s="4">
        <v>0.1</v>
      </c>
      <c r="H3" s="10">
        <v>0.1</v>
      </c>
      <c r="I3" s="10">
        <v>8.7499999999999994E-2</v>
      </c>
      <c r="J3" s="5">
        <v>532000</v>
      </c>
      <c r="K3" s="5">
        <v>482500</v>
      </c>
      <c r="L3" s="5">
        <v>49500</v>
      </c>
      <c r="M3" s="4">
        <v>0.91</v>
      </c>
      <c r="N3" s="2">
        <v>2</v>
      </c>
      <c r="O3" s="5">
        <v>4021</v>
      </c>
      <c r="P3" s="5">
        <v>4021</v>
      </c>
      <c r="Q3" s="3">
        <v>45992</v>
      </c>
      <c r="R3" s="6">
        <f t="shared" si="0"/>
        <v>48250</v>
      </c>
    </row>
    <row r="4" spans="1:18" x14ac:dyDescent="0.25">
      <c r="A4" s="2" t="s">
        <v>16</v>
      </c>
      <c r="B4" s="2" t="s">
        <v>23</v>
      </c>
      <c r="C4" s="2" t="s">
        <v>24</v>
      </c>
      <c r="D4" s="2" t="s">
        <v>25</v>
      </c>
      <c r="E4" s="3">
        <v>44427</v>
      </c>
      <c r="F4" s="3">
        <v>45382</v>
      </c>
      <c r="G4" s="4">
        <v>0.1</v>
      </c>
      <c r="H4" s="10">
        <v>8.9899999999999994E-2</v>
      </c>
      <c r="I4" s="10">
        <v>8.3400000000000002E-2</v>
      </c>
      <c r="J4" s="5">
        <v>375000</v>
      </c>
      <c r="K4" s="5">
        <v>375000</v>
      </c>
      <c r="L4" s="5">
        <v>0</v>
      </c>
      <c r="M4" s="4">
        <v>1</v>
      </c>
      <c r="N4" s="2">
        <v>4</v>
      </c>
      <c r="O4" s="5">
        <v>0</v>
      </c>
      <c r="P4" s="5">
        <v>2809</v>
      </c>
      <c r="Q4" s="3">
        <v>46023</v>
      </c>
      <c r="R4" s="6">
        <f t="shared" si="0"/>
        <v>37500</v>
      </c>
    </row>
    <row r="5" spans="1:18" x14ac:dyDescent="0.25">
      <c r="A5" s="2" t="s">
        <v>16</v>
      </c>
      <c r="B5" s="2" t="s">
        <v>26</v>
      </c>
      <c r="C5" s="2" t="s">
        <v>27</v>
      </c>
      <c r="D5" s="2" t="s">
        <v>28</v>
      </c>
      <c r="E5" s="3">
        <v>44596</v>
      </c>
      <c r="F5" s="3">
        <v>44961</v>
      </c>
      <c r="G5" s="4">
        <v>0.1</v>
      </c>
      <c r="H5" s="10">
        <v>8.5000000000000006E-2</v>
      </c>
      <c r="I5" s="10">
        <v>7.6999999999999999E-2</v>
      </c>
      <c r="J5" s="5">
        <v>270000</v>
      </c>
      <c r="K5" s="5">
        <v>270000</v>
      </c>
      <c r="L5" s="5">
        <v>0</v>
      </c>
      <c r="M5" s="4">
        <v>1</v>
      </c>
      <c r="N5" s="2">
        <v>1</v>
      </c>
      <c r="O5" s="5">
        <v>36190</v>
      </c>
      <c r="P5" s="5">
        <v>1996</v>
      </c>
      <c r="Q5" s="3">
        <v>45292</v>
      </c>
      <c r="R5" s="6">
        <f t="shared" si="0"/>
        <v>27000</v>
      </c>
    </row>
    <row r="6" spans="1:18" x14ac:dyDescent="0.25">
      <c r="A6" s="2" t="s">
        <v>16</v>
      </c>
      <c r="B6" s="2" t="s">
        <v>29</v>
      </c>
      <c r="C6" s="2" t="s">
        <v>30</v>
      </c>
      <c r="D6" s="2" t="s">
        <v>31</v>
      </c>
      <c r="E6" s="3">
        <v>44599</v>
      </c>
      <c r="F6" s="3">
        <v>45145</v>
      </c>
      <c r="G6" s="4">
        <v>0.1</v>
      </c>
      <c r="H6" s="10">
        <v>8.9899999999999994E-2</v>
      </c>
      <c r="I6" s="10">
        <v>7.9000000000000001E-2</v>
      </c>
      <c r="J6" s="5">
        <v>691004</v>
      </c>
      <c r="K6" s="5">
        <v>610161</v>
      </c>
      <c r="L6" s="5">
        <v>80843</v>
      </c>
      <c r="M6" s="4">
        <v>0.88</v>
      </c>
      <c r="N6" s="2">
        <v>5</v>
      </c>
      <c r="O6" s="5">
        <v>98298</v>
      </c>
      <c r="P6" s="5">
        <v>4571</v>
      </c>
      <c r="Q6" s="3">
        <v>45047</v>
      </c>
      <c r="R6" s="6">
        <f t="shared" si="0"/>
        <v>61016.100000000006</v>
      </c>
    </row>
    <row r="7" spans="1:18" x14ac:dyDescent="0.25">
      <c r="A7" s="2" t="s">
        <v>16</v>
      </c>
      <c r="B7" s="2" t="s">
        <v>32</v>
      </c>
      <c r="C7" s="2" t="s">
        <v>33</v>
      </c>
      <c r="D7" s="2" t="s">
        <v>34</v>
      </c>
      <c r="E7" s="3">
        <v>44607</v>
      </c>
      <c r="F7" s="3">
        <v>44972</v>
      </c>
      <c r="G7" s="4">
        <v>0.1</v>
      </c>
      <c r="H7" s="10">
        <v>0.1</v>
      </c>
      <c r="I7" s="10">
        <v>8.3400000000000002E-2</v>
      </c>
      <c r="J7" s="5">
        <v>638250</v>
      </c>
      <c r="K7" s="5">
        <v>632950</v>
      </c>
      <c r="L7" s="5">
        <v>5300</v>
      </c>
      <c r="M7" s="4">
        <v>0.99</v>
      </c>
      <c r="N7" s="2">
        <v>6</v>
      </c>
      <c r="O7" s="5">
        <v>716</v>
      </c>
      <c r="P7" s="5">
        <v>5275</v>
      </c>
      <c r="Q7" s="3">
        <v>45962</v>
      </c>
      <c r="R7" s="6">
        <f t="shared" si="0"/>
        <v>63295</v>
      </c>
    </row>
    <row r="8" spans="1:18" x14ac:dyDescent="0.25">
      <c r="A8" s="2" t="s">
        <v>16</v>
      </c>
      <c r="B8" s="2" t="s">
        <v>35</v>
      </c>
      <c r="C8" s="2" t="s">
        <v>36</v>
      </c>
      <c r="D8" s="2" t="s">
        <v>37</v>
      </c>
      <c r="E8" s="3">
        <v>44700</v>
      </c>
      <c r="F8" s="3">
        <v>46022</v>
      </c>
      <c r="G8" s="4">
        <v>0.15</v>
      </c>
      <c r="H8" s="10">
        <v>0.1</v>
      </c>
      <c r="I8" s="10">
        <v>8.8999999999999996E-2</v>
      </c>
      <c r="J8" s="5">
        <v>2537250</v>
      </c>
      <c r="K8" s="5">
        <v>2537250</v>
      </c>
      <c r="L8" s="5">
        <v>0</v>
      </c>
      <c r="M8" s="4">
        <v>1</v>
      </c>
      <c r="N8" s="2">
        <v>10</v>
      </c>
      <c r="O8" s="5">
        <v>2234</v>
      </c>
      <c r="P8" s="5">
        <v>21144</v>
      </c>
      <c r="Q8" s="3">
        <v>46023</v>
      </c>
      <c r="R8" s="6">
        <f t="shared" si="0"/>
        <v>380587.5</v>
      </c>
    </row>
    <row r="9" spans="1:18" x14ac:dyDescent="0.25">
      <c r="A9" s="2" t="s">
        <v>16</v>
      </c>
      <c r="B9" s="2" t="s">
        <v>38</v>
      </c>
      <c r="C9" s="2" t="s">
        <v>39</v>
      </c>
      <c r="D9" s="2" t="s">
        <v>40</v>
      </c>
      <c r="E9" s="3">
        <v>44781</v>
      </c>
      <c r="F9" s="3">
        <v>45869</v>
      </c>
      <c r="G9" s="4">
        <v>0.1</v>
      </c>
      <c r="H9" s="10">
        <v>9.5000000000000001E-2</v>
      </c>
      <c r="I9" s="10">
        <v>9.5000000000000001E-2</v>
      </c>
      <c r="J9" s="5">
        <v>399750</v>
      </c>
      <c r="K9" s="5">
        <v>345400</v>
      </c>
      <c r="L9" s="5">
        <v>54350</v>
      </c>
      <c r="M9" s="4">
        <v>0.86</v>
      </c>
      <c r="N9" s="2">
        <v>5</v>
      </c>
      <c r="O9" s="5">
        <v>0</v>
      </c>
      <c r="P9" s="5">
        <v>2734</v>
      </c>
      <c r="Q9" s="3">
        <v>46023</v>
      </c>
      <c r="R9" s="6">
        <f t="shared" si="0"/>
        <v>34540</v>
      </c>
    </row>
    <row r="10" spans="1:18" x14ac:dyDescent="0.25">
      <c r="A10" s="2" t="s">
        <v>16</v>
      </c>
      <c r="B10" s="2" t="s">
        <v>41</v>
      </c>
      <c r="C10" s="2" t="s">
        <v>42</v>
      </c>
      <c r="D10" s="2" t="s">
        <v>43</v>
      </c>
      <c r="E10" s="3">
        <v>44783</v>
      </c>
      <c r="F10" s="3">
        <v>45422</v>
      </c>
      <c r="G10" s="4">
        <v>0.1</v>
      </c>
      <c r="H10" s="10">
        <v>0.09</v>
      </c>
      <c r="I10" s="10">
        <v>0.09</v>
      </c>
      <c r="J10" s="5">
        <v>621400</v>
      </c>
      <c r="K10" s="5">
        <v>618400</v>
      </c>
      <c r="L10" s="5">
        <v>3000</v>
      </c>
      <c r="M10" s="4">
        <v>1</v>
      </c>
      <c r="N10" s="2">
        <v>13</v>
      </c>
      <c r="O10" s="5">
        <v>28427</v>
      </c>
      <c r="P10" s="5">
        <v>4773</v>
      </c>
      <c r="Q10" s="3">
        <v>45505</v>
      </c>
      <c r="R10" s="6">
        <f t="shared" si="0"/>
        <v>61840</v>
      </c>
    </row>
    <row r="11" spans="1:18" x14ac:dyDescent="0.25">
      <c r="A11" s="2" t="s">
        <v>16</v>
      </c>
      <c r="B11" s="2" t="s">
        <v>44</v>
      </c>
      <c r="C11" s="2" t="s">
        <v>45</v>
      </c>
      <c r="D11" s="2" t="s">
        <v>46</v>
      </c>
      <c r="E11" s="3">
        <v>44848</v>
      </c>
      <c r="F11" s="3">
        <v>46022</v>
      </c>
      <c r="G11" s="4">
        <v>0.1</v>
      </c>
      <c r="H11" s="10">
        <v>9.4500000000000001E-2</v>
      </c>
      <c r="I11" s="10">
        <v>9.4500000000000001E-2</v>
      </c>
      <c r="J11" s="5">
        <v>737750</v>
      </c>
      <c r="K11" s="5">
        <v>727525</v>
      </c>
      <c r="L11" s="5">
        <v>10225</v>
      </c>
      <c r="M11" s="4">
        <v>0.99</v>
      </c>
      <c r="N11" s="2">
        <v>7</v>
      </c>
      <c r="O11" s="5">
        <v>361</v>
      </c>
      <c r="P11" s="5">
        <v>5729</v>
      </c>
      <c r="Q11" s="3">
        <v>46023</v>
      </c>
      <c r="R11" s="6">
        <f t="shared" si="0"/>
        <v>72752.5</v>
      </c>
    </row>
    <row r="12" spans="1:18" x14ac:dyDescent="0.25">
      <c r="A12" s="2" t="s">
        <v>16</v>
      </c>
      <c r="B12" s="2" t="s">
        <v>47</v>
      </c>
      <c r="C12" s="2" t="s">
        <v>48</v>
      </c>
      <c r="D12" s="2" t="s">
        <v>49</v>
      </c>
      <c r="E12" s="3">
        <v>44869</v>
      </c>
      <c r="F12" s="3">
        <v>46022</v>
      </c>
      <c r="G12" s="4">
        <v>0.15</v>
      </c>
      <c r="H12" s="10">
        <v>0.11</v>
      </c>
      <c r="I12" s="10">
        <v>0.10890000000000001</v>
      </c>
      <c r="J12" s="5">
        <v>1056500</v>
      </c>
      <c r="K12" s="5">
        <v>600025</v>
      </c>
      <c r="L12" s="5">
        <v>456475</v>
      </c>
      <c r="M12" s="4">
        <v>0.56999999999999995</v>
      </c>
      <c r="N12" s="2">
        <v>3</v>
      </c>
      <c r="O12" s="5">
        <v>0</v>
      </c>
      <c r="P12" s="5">
        <v>5500</v>
      </c>
      <c r="Q12" s="3">
        <v>46023</v>
      </c>
      <c r="R12" s="6">
        <f t="shared" si="0"/>
        <v>90003.75</v>
      </c>
    </row>
    <row r="13" spans="1:18" x14ac:dyDescent="0.25">
      <c r="A13" s="2" t="s">
        <v>16</v>
      </c>
      <c r="B13" s="2" t="s">
        <v>50</v>
      </c>
      <c r="C13" s="2" t="s">
        <v>51</v>
      </c>
      <c r="D13" s="2" t="s">
        <v>52</v>
      </c>
      <c r="E13" s="3">
        <v>44915</v>
      </c>
      <c r="F13" s="3">
        <v>45280</v>
      </c>
      <c r="G13" s="4">
        <v>0.1</v>
      </c>
      <c r="H13" s="10">
        <v>0.11</v>
      </c>
      <c r="I13" s="10">
        <v>0.10920000000000001</v>
      </c>
      <c r="J13" s="5">
        <v>347750</v>
      </c>
      <c r="K13" s="5">
        <v>303750</v>
      </c>
      <c r="L13" s="5">
        <v>44000</v>
      </c>
      <c r="M13" s="4">
        <v>0.87</v>
      </c>
      <c r="N13" s="2">
        <v>1</v>
      </c>
      <c r="O13" s="5">
        <v>36754</v>
      </c>
      <c r="P13" s="5">
        <v>2784</v>
      </c>
      <c r="Q13" s="3">
        <v>45261</v>
      </c>
      <c r="R13" s="6">
        <f t="shared" si="0"/>
        <v>30375</v>
      </c>
    </row>
    <row r="14" spans="1:18" x14ac:dyDescent="0.25">
      <c r="A14" s="2" t="s">
        <v>16</v>
      </c>
      <c r="B14" s="2" t="s">
        <v>53</v>
      </c>
      <c r="C14" s="2" t="s">
        <v>54</v>
      </c>
      <c r="D14" s="2" t="s">
        <v>55</v>
      </c>
      <c r="E14" s="3">
        <v>44951</v>
      </c>
      <c r="F14" s="3">
        <v>46022</v>
      </c>
      <c r="G14" s="4">
        <v>0.2</v>
      </c>
      <c r="H14" s="10">
        <v>0.105</v>
      </c>
      <c r="I14" s="10">
        <v>0.10400000000000001</v>
      </c>
      <c r="J14" s="5">
        <v>447650</v>
      </c>
      <c r="K14" s="5">
        <v>435151</v>
      </c>
      <c r="L14" s="5">
        <v>12499</v>
      </c>
      <c r="M14" s="4">
        <v>0.97</v>
      </c>
      <c r="N14" s="2">
        <v>8</v>
      </c>
      <c r="O14" s="5">
        <v>0</v>
      </c>
      <c r="P14" s="5">
        <v>3808</v>
      </c>
      <c r="Q14" s="3">
        <v>46023</v>
      </c>
      <c r="R14" s="6">
        <f t="shared" si="0"/>
        <v>87030.200000000012</v>
      </c>
    </row>
    <row r="15" spans="1:18" x14ac:dyDescent="0.25">
      <c r="A15" s="2" t="s">
        <v>16</v>
      </c>
      <c r="B15" s="2" t="s">
        <v>56</v>
      </c>
      <c r="C15" s="2" t="s">
        <v>57</v>
      </c>
      <c r="D15" s="2" t="s">
        <v>58</v>
      </c>
      <c r="E15" s="3">
        <v>44971</v>
      </c>
      <c r="F15" s="3">
        <v>45336</v>
      </c>
      <c r="G15" s="4">
        <v>0.2</v>
      </c>
      <c r="H15" s="10">
        <v>0.11</v>
      </c>
      <c r="I15" s="10">
        <v>0.109</v>
      </c>
      <c r="J15" s="5">
        <v>436000</v>
      </c>
      <c r="K15" s="5">
        <v>66000</v>
      </c>
      <c r="L15" s="5">
        <v>370000</v>
      </c>
      <c r="M15" s="4">
        <v>0.15</v>
      </c>
      <c r="N15" s="2">
        <v>1</v>
      </c>
      <c r="O15" s="5">
        <v>0</v>
      </c>
      <c r="P15" s="5">
        <v>605</v>
      </c>
      <c r="Q15" s="3">
        <v>46023</v>
      </c>
      <c r="R15" s="6">
        <f t="shared" si="0"/>
        <v>13200</v>
      </c>
    </row>
    <row r="16" spans="1:18" x14ac:dyDescent="0.25">
      <c r="A16" s="2" t="s">
        <v>16</v>
      </c>
      <c r="B16" s="2" t="s">
        <v>59</v>
      </c>
      <c r="C16" s="2" t="s">
        <v>60</v>
      </c>
      <c r="D16" s="2" t="s">
        <v>61</v>
      </c>
      <c r="E16" s="3">
        <v>44972</v>
      </c>
      <c r="F16" s="3">
        <v>46022</v>
      </c>
      <c r="G16" s="4">
        <v>0.2</v>
      </c>
      <c r="H16" s="10">
        <v>0.105</v>
      </c>
      <c r="I16" s="10">
        <v>0.10369999999999999</v>
      </c>
      <c r="J16" s="5">
        <v>461837</v>
      </c>
      <c r="K16" s="5">
        <v>315852</v>
      </c>
      <c r="L16" s="5">
        <v>145985</v>
      </c>
      <c r="M16" s="4">
        <v>0.68</v>
      </c>
      <c r="N16" s="2">
        <v>5</v>
      </c>
      <c r="O16" s="5">
        <v>0</v>
      </c>
      <c r="P16" s="5">
        <v>2372</v>
      </c>
      <c r="Q16" s="3">
        <v>46023</v>
      </c>
      <c r="R16" s="6">
        <f t="shared" si="0"/>
        <v>63170.400000000001</v>
      </c>
    </row>
    <row r="17" spans="1:18" x14ac:dyDescent="0.25">
      <c r="A17" s="2" t="s">
        <v>16</v>
      </c>
      <c r="B17" s="2" t="s">
        <v>62</v>
      </c>
      <c r="C17" s="2" t="s">
        <v>63</v>
      </c>
      <c r="D17" s="2" t="s">
        <v>64</v>
      </c>
      <c r="E17" s="3">
        <v>44995</v>
      </c>
      <c r="F17" s="3">
        <v>45361</v>
      </c>
      <c r="G17" s="4">
        <v>0.2</v>
      </c>
      <c r="H17" s="10">
        <v>0.11</v>
      </c>
      <c r="I17" s="10">
        <v>0.109</v>
      </c>
      <c r="J17" s="5">
        <v>555000</v>
      </c>
      <c r="K17" s="5">
        <v>555000</v>
      </c>
      <c r="L17" s="5">
        <v>0</v>
      </c>
      <c r="M17" s="4">
        <v>1</v>
      </c>
      <c r="N17" s="2">
        <v>8</v>
      </c>
      <c r="O17" s="5">
        <v>21152</v>
      </c>
      <c r="P17" s="5">
        <v>5257</v>
      </c>
      <c r="Q17" s="3">
        <v>45597</v>
      </c>
      <c r="R17" s="6">
        <f t="shared" si="0"/>
        <v>111000</v>
      </c>
    </row>
    <row r="18" spans="1:18" x14ac:dyDescent="0.25">
      <c r="A18" s="2" t="s">
        <v>16</v>
      </c>
      <c r="B18" s="2" t="s">
        <v>65</v>
      </c>
      <c r="C18" s="2" t="s">
        <v>66</v>
      </c>
      <c r="D18" s="2" t="s">
        <v>67</v>
      </c>
      <c r="E18" s="3">
        <v>44995</v>
      </c>
      <c r="F18" s="3">
        <v>45361</v>
      </c>
      <c r="G18" s="4">
        <v>0.2</v>
      </c>
      <c r="H18" s="10">
        <v>0.11</v>
      </c>
      <c r="I18" s="10">
        <v>0.109</v>
      </c>
      <c r="J18" s="5">
        <v>548100</v>
      </c>
      <c r="K18" s="5">
        <v>545600</v>
      </c>
      <c r="L18" s="5">
        <v>2500</v>
      </c>
      <c r="M18" s="4">
        <v>1</v>
      </c>
      <c r="N18" s="2">
        <v>8</v>
      </c>
      <c r="O18" s="5">
        <v>20975</v>
      </c>
      <c r="P18" s="5">
        <v>5168</v>
      </c>
      <c r="Q18" s="3">
        <v>45597</v>
      </c>
      <c r="R18" s="6">
        <f t="shared" si="0"/>
        <v>109120</v>
      </c>
    </row>
    <row r="19" spans="1:18" x14ac:dyDescent="0.25">
      <c r="A19" s="2" t="s">
        <v>16</v>
      </c>
      <c r="B19" s="2" t="s">
        <v>68</v>
      </c>
      <c r="C19" s="2" t="s">
        <v>69</v>
      </c>
      <c r="D19" s="2" t="s">
        <v>70</v>
      </c>
      <c r="E19" s="3">
        <v>45030</v>
      </c>
      <c r="F19" s="3">
        <v>46022</v>
      </c>
      <c r="G19" s="4">
        <v>0.1</v>
      </c>
      <c r="H19" s="10">
        <v>0.11</v>
      </c>
      <c r="I19" s="10">
        <v>0.109</v>
      </c>
      <c r="J19" s="5">
        <v>836500</v>
      </c>
      <c r="K19" s="5">
        <v>806862</v>
      </c>
      <c r="L19" s="5">
        <v>29638</v>
      </c>
      <c r="M19" s="4">
        <v>0.96</v>
      </c>
      <c r="N19" s="2">
        <v>2</v>
      </c>
      <c r="O19" s="5">
        <v>0</v>
      </c>
      <c r="P19" s="5">
        <v>7396</v>
      </c>
      <c r="Q19" s="3">
        <v>46023</v>
      </c>
      <c r="R19" s="6">
        <f t="shared" si="0"/>
        <v>80686.200000000012</v>
      </c>
    </row>
    <row r="20" spans="1:18" x14ac:dyDescent="0.25">
      <c r="A20" s="2" t="s">
        <v>16</v>
      </c>
      <c r="B20" s="2" t="s">
        <v>71</v>
      </c>
      <c r="C20" s="2" t="s">
        <v>72</v>
      </c>
      <c r="D20" s="2" t="s">
        <v>73</v>
      </c>
      <c r="E20" s="3">
        <v>45035</v>
      </c>
      <c r="F20" s="3">
        <v>45676</v>
      </c>
      <c r="G20" s="4">
        <v>0.1</v>
      </c>
      <c r="H20" s="10">
        <v>0.11</v>
      </c>
      <c r="I20" s="10">
        <v>0.109</v>
      </c>
      <c r="J20" s="5">
        <v>1485450</v>
      </c>
      <c r="K20" s="5">
        <v>1480275</v>
      </c>
      <c r="L20" s="5">
        <v>5175</v>
      </c>
      <c r="M20" s="4">
        <v>1</v>
      </c>
      <c r="N20" s="2">
        <v>14</v>
      </c>
      <c r="O20" s="5">
        <v>198604</v>
      </c>
      <c r="P20" s="5">
        <v>14021</v>
      </c>
      <c r="Q20" s="3">
        <v>45597</v>
      </c>
      <c r="R20" s="6">
        <f t="shared" si="0"/>
        <v>148027.5</v>
      </c>
    </row>
    <row r="21" spans="1:18" x14ac:dyDescent="0.25">
      <c r="A21" s="2" t="s">
        <v>16</v>
      </c>
      <c r="B21" s="2" t="s">
        <v>74</v>
      </c>
      <c r="C21" s="2" t="s">
        <v>75</v>
      </c>
      <c r="D21" s="2" t="s">
        <v>76</v>
      </c>
      <c r="E21" s="3">
        <v>45068</v>
      </c>
      <c r="F21" s="3">
        <v>45434</v>
      </c>
      <c r="G21" s="4">
        <v>0.1</v>
      </c>
      <c r="H21" s="10">
        <v>0.115</v>
      </c>
      <c r="I21" s="10">
        <v>0.11199999999999999</v>
      </c>
      <c r="J21" s="5">
        <v>523105</v>
      </c>
      <c r="K21" s="5">
        <v>523105</v>
      </c>
      <c r="L21" s="5">
        <v>0</v>
      </c>
      <c r="M21" s="4">
        <v>1</v>
      </c>
      <c r="N21" s="2">
        <v>10</v>
      </c>
      <c r="O21" s="5">
        <v>25567</v>
      </c>
      <c r="P21" s="5">
        <v>5180</v>
      </c>
      <c r="Q21" s="3">
        <v>45809</v>
      </c>
      <c r="R21" s="6">
        <f t="shared" si="0"/>
        <v>52310.5</v>
      </c>
    </row>
    <row r="22" spans="1:18" x14ac:dyDescent="0.25">
      <c r="A22" s="2" t="s">
        <v>16</v>
      </c>
      <c r="B22" s="2" t="s">
        <v>77</v>
      </c>
      <c r="C22" s="2" t="s">
        <v>78</v>
      </c>
      <c r="D22" s="2" t="s">
        <v>79</v>
      </c>
      <c r="E22" s="3">
        <v>45079</v>
      </c>
      <c r="F22" s="3">
        <v>45902</v>
      </c>
      <c r="G22" s="4">
        <v>0.2</v>
      </c>
      <c r="H22" s="10">
        <v>0.11</v>
      </c>
      <c r="I22" s="10">
        <v>0.109</v>
      </c>
      <c r="J22" s="5">
        <v>183650</v>
      </c>
      <c r="K22" s="5">
        <v>115645</v>
      </c>
      <c r="L22" s="5">
        <v>68005</v>
      </c>
      <c r="M22" s="4">
        <v>0.63</v>
      </c>
      <c r="N22" s="2">
        <v>5</v>
      </c>
      <c r="O22" s="5">
        <v>0</v>
      </c>
      <c r="P22" s="5">
        <v>1060</v>
      </c>
      <c r="Q22" s="3">
        <v>46023</v>
      </c>
      <c r="R22" s="6">
        <f t="shared" si="0"/>
        <v>23129</v>
      </c>
    </row>
    <row r="23" spans="1:18" x14ac:dyDescent="0.25">
      <c r="A23" s="2" t="s">
        <v>16</v>
      </c>
      <c r="B23" s="2" t="s">
        <v>80</v>
      </c>
      <c r="C23" s="2" t="s">
        <v>81</v>
      </c>
      <c r="D23" s="2" t="s">
        <v>82</v>
      </c>
      <c r="E23" s="3">
        <v>45092</v>
      </c>
      <c r="F23" s="3">
        <v>45747</v>
      </c>
      <c r="G23" s="4">
        <v>0.2</v>
      </c>
      <c r="H23" s="10">
        <v>0.11</v>
      </c>
      <c r="I23" s="10">
        <v>0.109</v>
      </c>
      <c r="J23" s="5">
        <v>237500</v>
      </c>
      <c r="K23" s="5">
        <v>202500</v>
      </c>
      <c r="L23" s="5">
        <v>35000</v>
      </c>
      <c r="M23" s="4">
        <v>0.85</v>
      </c>
      <c r="N23" s="2">
        <v>1</v>
      </c>
      <c r="O23" s="5">
        <v>1919</v>
      </c>
      <c r="P23" s="5">
        <v>1856</v>
      </c>
      <c r="Q23" s="3">
        <v>45992</v>
      </c>
      <c r="R23" s="6">
        <f t="shared" si="0"/>
        <v>40500</v>
      </c>
    </row>
    <row r="24" spans="1:18" x14ac:dyDescent="0.25">
      <c r="A24" s="2" t="s">
        <v>16</v>
      </c>
      <c r="B24" s="2" t="s">
        <v>83</v>
      </c>
      <c r="C24" s="2" t="s">
        <v>84</v>
      </c>
      <c r="D24" s="2" t="s">
        <v>85</v>
      </c>
      <c r="E24" s="3">
        <v>45107</v>
      </c>
      <c r="F24" s="3">
        <v>45473</v>
      </c>
      <c r="G24" s="4">
        <v>0.1</v>
      </c>
      <c r="H24" s="10">
        <v>0.11</v>
      </c>
      <c r="I24" s="10">
        <v>0.109</v>
      </c>
      <c r="J24" s="5">
        <v>407950</v>
      </c>
      <c r="K24" s="5">
        <v>357000</v>
      </c>
      <c r="L24" s="5">
        <v>50950</v>
      </c>
      <c r="M24" s="4">
        <v>0.88</v>
      </c>
      <c r="N24" s="2">
        <v>1</v>
      </c>
      <c r="O24" s="5">
        <v>2011</v>
      </c>
      <c r="P24" s="5">
        <v>3272</v>
      </c>
      <c r="Q24" s="3">
        <v>46023</v>
      </c>
      <c r="R24" s="6">
        <f t="shared" si="0"/>
        <v>35700</v>
      </c>
    </row>
    <row r="25" spans="1:18" x14ac:dyDescent="0.25">
      <c r="A25" s="2" t="s">
        <v>16</v>
      </c>
      <c r="B25" s="2" t="s">
        <v>86</v>
      </c>
      <c r="C25" s="2" t="s">
        <v>87</v>
      </c>
      <c r="D25" s="2" t="s">
        <v>88</v>
      </c>
      <c r="E25" s="3">
        <v>45142</v>
      </c>
      <c r="F25" s="3">
        <v>45930</v>
      </c>
      <c r="G25" s="4">
        <v>0.1</v>
      </c>
      <c r="H25" s="10">
        <v>0.1125</v>
      </c>
      <c r="I25" s="10">
        <v>0.1115</v>
      </c>
      <c r="J25" s="5">
        <v>319795</v>
      </c>
      <c r="K25" s="5">
        <v>316545</v>
      </c>
      <c r="L25" s="5">
        <v>3250</v>
      </c>
      <c r="M25" s="4">
        <v>0.99</v>
      </c>
      <c r="N25" s="2">
        <v>17</v>
      </c>
      <c r="O25" s="5">
        <v>0</v>
      </c>
      <c r="P25" s="5">
        <v>2968</v>
      </c>
      <c r="Q25" s="3">
        <v>45962</v>
      </c>
      <c r="R25" s="6">
        <f t="shared" si="0"/>
        <v>31654.5</v>
      </c>
    </row>
    <row r="26" spans="1:18" x14ac:dyDescent="0.25">
      <c r="A26" s="2" t="s">
        <v>16</v>
      </c>
      <c r="B26" s="2" t="s">
        <v>89</v>
      </c>
      <c r="C26" s="2" t="s">
        <v>90</v>
      </c>
      <c r="D26" s="2" t="s">
        <v>91</v>
      </c>
      <c r="E26" s="3">
        <v>45145</v>
      </c>
      <c r="F26" s="3">
        <v>45899</v>
      </c>
      <c r="G26" s="4">
        <v>0.1</v>
      </c>
      <c r="H26" s="10">
        <v>0.1125</v>
      </c>
      <c r="I26" s="10">
        <v>0.1115</v>
      </c>
      <c r="J26" s="5">
        <v>1718480</v>
      </c>
      <c r="K26" s="5">
        <v>976632</v>
      </c>
      <c r="L26" s="5">
        <v>741848</v>
      </c>
      <c r="M26" s="4">
        <v>0.56999999999999995</v>
      </c>
      <c r="N26" s="2">
        <v>2</v>
      </c>
      <c r="O26" s="5">
        <v>30758</v>
      </c>
      <c r="P26" s="5">
        <v>9459</v>
      </c>
      <c r="Q26" s="3">
        <v>45870</v>
      </c>
      <c r="R26" s="6">
        <f t="shared" si="0"/>
        <v>97663.200000000012</v>
      </c>
    </row>
    <row r="27" spans="1:18" x14ac:dyDescent="0.25">
      <c r="A27" s="2" t="s">
        <v>16</v>
      </c>
      <c r="B27" s="2" t="s">
        <v>92</v>
      </c>
      <c r="C27" s="2" t="s">
        <v>93</v>
      </c>
      <c r="D27" s="2" t="s">
        <v>94</v>
      </c>
      <c r="E27" s="3">
        <v>45154</v>
      </c>
      <c r="F27" s="3">
        <v>45520</v>
      </c>
      <c r="G27" s="4">
        <v>0.1</v>
      </c>
      <c r="H27" s="10">
        <v>0.1125</v>
      </c>
      <c r="I27" s="10">
        <v>0.1115</v>
      </c>
      <c r="J27" s="5">
        <v>2860273</v>
      </c>
      <c r="K27" s="5">
        <v>2705297</v>
      </c>
      <c r="L27" s="5">
        <v>154976</v>
      </c>
      <c r="M27" s="4">
        <v>0.95</v>
      </c>
      <c r="N27" s="2">
        <v>14</v>
      </c>
      <c r="O27" s="5">
        <v>406163</v>
      </c>
      <c r="P27" s="5">
        <v>25362</v>
      </c>
      <c r="Q27" s="3">
        <v>45566</v>
      </c>
      <c r="R27" s="6">
        <f t="shared" si="0"/>
        <v>270529.7</v>
      </c>
    </row>
    <row r="28" spans="1:18" x14ac:dyDescent="0.25">
      <c r="A28" s="2" t="s">
        <v>16</v>
      </c>
      <c r="B28" s="2" t="s">
        <v>95</v>
      </c>
      <c r="C28" s="2" t="s">
        <v>96</v>
      </c>
      <c r="D28" s="2" t="s">
        <v>97</v>
      </c>
      <c r="E28" s="3">
        <v>45184</v>
      </c>
      <c r="F28" s="3">
        <v>45899</v>
      </c>
      <c r="G28" s="4">
        <v>0.1</v>
      </c>
      <c r="H28" s="10">
        <v>0.1125</v>
      </c>
      <c r="I28" s="10">
        <v>0.1115</v>
      </c>
      <c r="J28" s="5">
        <v>83454</v>
      </c>
      <c r="K28" s="5">
        <v>78954</v>
      </c>
      <c r="L28" s="5">
        <v>4500</v>
      </c>
      <c r="M28" s="4">
        <v>0.95</v>
      </c>
      <c r="N28" s="2">
        <v>3</v>
      </c>
      <c r="O28" s="5">
        <v>740</v>
      </c>
      <c r="P28" s="5">
        <v>740</v>
      </c>
      <c r="Q28" s="3">
        <v>45992</v>
      </c>
      <c r="R28" s="6">
        <f t="shared" si="0"/>
        <v>7895.4000000000005</v>
      </c>
    </row>
    <row r="29" spans="1:18" x14ac:dyDescent="0.25">
      <c r="A29" s="2" t="s">
        <v>16</v>
      </c>
      <c r="B29" s="2" t="s">
        <v>98</v>
      </c>
      <c r="C29" s="2" t="s">
        <v>99</v>
      </c>
      <c r="D29" s="2" t="s">
        <v>100</v>
      </c>
      <c r="E29" s="3">
        <v>45189</v>
      </c>
      <c r="F29" s="3">
        <v>45555</v>
      </c>
      <c r="G29" s="4">
        <v>0.1</v>
      </c>
      <c r="H29" s="10">
        <v>0.1125</v>
      </c>
      <c r="I29" s="10">
        <v>0.1115</v>
      </c>
      <c r="J29" s="5">
        <v>823650</v>
      </c>
      <c r="K29" s="5">
        <v>823650</v>
      </c>
      <c r="L29" s="5">
        <v>0</v>
      </c>
      <c r="M29" s="4">
        <v>1</v>
      </c>
      <c r="N29" s="2">
        <v>8</v>
      </c>
      <c r="O29" s="5">
        <v>117722</v>
      </c>
      <c r="P29" s="5">
        <v>7979</v>
      </c>
      <c r="Q29" s="3">
        <v>45597</v>
      </c>
      <c r="R29" s="6">
        <f t="shared" si="0"/>
        <v>82365</v>
      </c>
    </row>
    <row r="30" spans="1:18" x14ac:dyDescent="0.25">
      <c r="A30" s="2" t="s">
        <v>16</v>
      </c>
      <c r="B30" s="2" t="s">
        <v>101</v>
      </c>
      <c r="C30" s="2" t="s">
        <v>102</v>
      </c>
      <c r="D30" s="2" t="s">
        <v>103</v>
      </c>
      <c r="E30" s="3">
        <v>45232</v>
      </c>
      <c r="F30" s="3">
        <v>45930</v>
      </c>
      <c r="G30" s="4">
        <v>0.25</v>
      </c>
      <c r="H30" s="10">
        <v>0.11</v>
      </c>
      <c r="I30" s="10">
        <v>0.10920000000000001</v>
      </c>
      <c r="J30" s="5">
        <v>913366</v>
      </c>
      <c r="K30" s="5">
        <v>882326</v>
      </c>
      <c r="L30" s="5">
        <v>31040</v>
      </c>
      <c r="M30" s="4">
        <v>0.97</v>
      </c>
      <c r="N30" s="2">
        <v>10</v>
      </c>
      <c r="O30" s="5">
        <v>7931</v>
      </c>
      <c r="P30" s="5">
        <v>7931</v>
      </c>
      <c r="Q30" s="3">
        <v>45901</v>
      </c>
      <c r="R30" s="6">
        <f t="shared" si="0"/>
        <v>220581.5</v>
      </c>
    </row>
    <row r="31" spans="1:18" x14ac:dyDescent="0.25">
      <c r="A31" s="2" t="s">
        <v>16</v>
      </c>
      <c r="B31" s="2" t="s">
        <v>104</v>
      </c>
      <c r="C31" s="2" t="s">
        <v>105</v>
      </c>
      <c r="D31" s="2" t="s">
        <v>106</v>
      </c>
      <c r="E31" s="3">
        <v>45243</v>
      </c>
      <c r="F31" s="3">
        <v>46067</v>
      </c>
      <c r="G31" s="4">
        <v>0.1</v>
      </c>
      <c r="H31" s="10">
        <v>0.1125</v>
      </c>
      <c r="I31" s="10">
        <v>0.1115</v>
      </c>
      <c r="J31" s="5">
        <v>79050</v>
      </c>
      <c r="K31" s="5">
        <v>74975</v>
      </c>
      <c r="L31" s="5">
        <v>4075</v>
      </c>
      <c r="M31" s="4">
        <v>0.95</v>
      </c>
      <c r="N31" s="2">
        <v>3</v>
      </c>
      <c r="O31" s="5">
        <v>0</v>
      </c>
      <c r="P31" s="5">
        <v>741</v>
      </c>
      <c r="Q31" s="3">
        <v>46023</v>
      </c>
      <c r="R31" s="6">
        <f t="shared" si="0"/>
        <v>7497.5</v>
      </c>
    </row>
    <row r="32" spans="1:18" x14ac:dyDescent="0.25">
      <c r="A32" s="2" t="s">
        <v>16</v>
      </c>
      <c r="B32" s="2" t="s">
        <v>107</v>
      </c>
      <c r="C32" s="2" t="s">
        <v>108</v>
      </c>
      <c r="D32" s="2" t="s">
        <v>109</v>
      </c>
      <c r="E32" s="3">
        <v>45251</v>
      </c>
      <c r="F32" s="3">
        <v>46022</v>
      </c>
      <c r="G32" s="4">
        <v>0.1</v>
      </c>
      <c r="H32" s="10">
        <v>0.1125</v>
      </c>
      <c r="I32" s="10">
        <v>0.1115</v>
      </c>
      <c r="J32" s="5">
        <v>299483</v>
      </c>
      <c r="K32" s="5">
        <v>299483</v>
      </c>
      <c r="L32" s="5">
        <v>0</v>
      </c>
      <c r="M32" s="4">
        <v>1</v>
      </c>
      <c r="N32" s="2">
        <v>5</v>
      </c>
      <c r="O32" s="5">
        <v>94</v>
      </c>
      <c r="P32" s="5">
        <v>2808</v>
      </c>
      <c r="Q32" s="3">
        <v>46023</v>
      </c>
      <c r="R32" s="6">
        <f t="shared" si="0"/>
        <v>29948.300000000003</v>
      </c>
    </row>
    <row r="33" spans="1:18" x14ac:dyDescent="0.25">
      <c r="A33" s="2" t="s">
        <v>16</v>
      </c>
      <c r="B33" s="2" t="s">
        <v>110</v>
      </c>
      <c r="C33" s="2" t="s">
        <v>111</v>
      </c>
      <c r="D33" s="2" t="s">
        <v>112</v>
      </c>
      <c r="E33" s="3">
        <v>45260</v>
      </c>
      <c r="F33" s="3">
        <v>45626</v>
      </c>
      <c r="G33" s="4">
        <v>0.35</v>
      </c>
      <c r="H33" s="10">
        <v>0.11</v>
      </c>
      <c r="I33" s="10">
        <v>0.10920000000000001</v>
      </c>
      <c r="J33" s="5">
        <v>1475689</v>
      </c>
      <c r="K33" s="5">
        <v>697500</v>
      </c>
      <c r="L33" s="5">
        <v>778189</v>
      </c>
      <c r="M33" s="4">
        <v>0.47</v>
      </c>
      <c r="N33" s="2">
        <v>1</v>
      </c>
      <c r="O33" s="5">
        <v>19821</v>
      </c>
      <c r="P33" s="5">
        <v>6607</v>
      </c>
      <c r="Q33" s="3">
        <v>45901</v>
      </c>
      <c r="R33" s="6">
        <f t="shared" si="0"/>
        <v>244124.99999999997</v>
      </c>
    </row>
    <row r="34" spans="1:18" x14ac:dyDescent="0.25">
      <c r="A34" s="2" t="s">
        <v>16</v>
      </c>
      <c r="B34" s="2" t="s">
        <v>113</v>
      </c>
      <c r="C34" s="2" t="s">
        <v>114</v>
      </c>
      <c r="D34" s="2" t="s">
        <v>115</v>
      </c>
      <c r="E34" s="3">
        <v>45265</v>
      </c>
      <c r="F34" s="3">
        <v>45631</v>
      </c>
      <c r="G34" s="4">
        <v>0.1</v>
      </c>
      <c r="H34" s="10">
        <v>0.11</v>
      </c>
      <c r="I34" s="10">
        <v>0.10920000000000001</v>
      </c>
      <c r="J34" s="5">
        <v>1220000</v>
      </c>
      <c r="K34" s="5">
        <v>1170710</v>
      </c>
      <c r="L34" s="5">
        <v>49290</v>
      </c>
      <c r="M34" s="4">
        <v>0.96</v>
      </c>
      <c r="N34" s="2">
        <v>6</v>
      </c>
      <c r="O34" s="5">
        <v>65620</v>
      </c>
      <c r="P34" s="5">
        <v>10929</v>
      </c>
      <c r="Q34" s="3">
        <v>45505</v>
      </c>
      <c r="R34" s="6">
        <f t="shared" si="0"/>
        <v>117071</v>
      </c>
    </row>
    <row r="35" spans="1:18" x14ac:dyDescent="0.25">
      <c r="A35" s="2" t="s">
        <v>16</v>
      </c>
      <c r="B35" s="2" t="s">
        <v>116</v>
      </c>
      <c r="C35" s="2" t="s">
        <v>117</v>
      </c>
      <c r="D35" s="2" t="s">
        <v>118</v>
      </c>
      <c r="E35" s="3">
        <v>45321</v>
      </c>
      <c r="F35" s="3">
        <v>46021</v>
      </c>
      <c r="G35" s="4">
        <v>0.1</v>
      </c>
      <c r="H35" s="10">
        <v>0.1099</v>
      </c>
      <c r="I35" s="10">
        <v>0.1099</v>
      </c>
      <c r="J35" s="5">
        <v>233750</v>
      </c>
      <c r="K35" s="5">
        <v>233750</v>
      </c>
      <c r="L35" s="5">
        <v>0</v>
      </c>
      <c r="M35" s="4">
        <v>1</v>
      </c>
      <c r="N35" s="2">
        <v>1</v>
      </c>
      <c r="O35" s="5">
        <v>0</v>
      </c>
      <c r="P35" s="5">
        <v>2141</v>
      </c>
      <c r="Q35" s="3">
        <v>46023</v>
      </c>
      <c r="R35" s="6">
        <f t="shared" si="0"/>
        <v>23375</v>
      </c>
    </row>
    <row r="36" spans="1:18" x14ac:dyDescent="0.25">
      <c r="A36" s="2" t="s">
        <v>16</v>
      </c>
      <c r="B36" s="2" t="s">
        <v>119</v>
      </c>
      <c r="C36" s="2" t="s">
        <v>120</v>
      </c>
      <c r="D36" s="2" t="s">
        <v>121</v>
      </c>
      <c r="E36" s="3">
        <v>45331</v>
      </c>
      <c r="F36" s="3">
        <v>46022</v>
      </c>
      <c r="G36" s="4">
        <v>0.1</v>
      </c>
      <c r="H36" s="10">
        <v>0.1125</v>
      </c>
      <c r="I36" s="10">
        <v>0.1125</v>
      </c>
      <c r="J36" s="5">
        <v>162200</v>
      </c>
      <c r="K36" s="5">
        <v>162200</v>
      </c>
      <c r="L36" s="5">
        <v>0</v>
      </c>
      <c r="M36" s="4">
        <v>1</v>
      </c>
      <c r="N36" s="2">
        <v>5</v>
      </c>
      <c r="O36" s="5">
        <v>0</v>
      </c>
      <c r="P36" s="5">
        <v>1512</v>
      </c>
      <c r="Q36" s="3">
        <v>46023</v>
      </c>
      <c r="R36" s="6">
        <f t="shared" si="0"/>
        <v>16220</v>
      </c>
    </row>
    <row r="37" spans="1:18" x14ac:dyDescent="0.25">
      <c r="A37" s="2" t="s">
        <v>16</v>
      </c>
      <c r="B37" s="2" t="s">
        <v>122</v>
      </c>
      <c r="C37" s="2" t="s">
        <v>123</v>
      </c>
      <c r="D37" s="2" t="s">
        <v>124</v>
      </c>
      <c r="E37" s="3">
        <v>45342</v>
      </c>
      <c r="F37" s="3">
        <v>46022</v>
      </c>
      <c r="G37" s="4">
        <v>0.2</v>
      </c>
      <c r="H37" s="10">
        <v>0.1125</v>
      </c>
      <c r="I37" s="10">
        <v>0.1125</v>
      </c>
      <c r="J37" s="5">
        <v>1004750</v>
      </c>
      <c r="K37" s="5">
        <v>714115</v>
      </c>
      <c r="L37" s="5">
        <v>290635</v>
      </c>
      <c r="M37" s="4">
        <v>0.71</v>
      </c>
      <c r="N37" s="2">
        <v>5</v>
      </c>
      <c r="O37" s="5">
        <v>6695</v>
      </c>
      <c r="P37" s="5">
        <v>6695</v>
      </c>
      <c r="Q37" s="3">
        <v>45992</v>
      </c>
      <c r="R37" s="6">
        <f t="shared" si="0"/>
        <v>142823</v>
      </c>
    </row>
    <row r="38" spans="1:18" x14ac:dyDescent="0.25">
      <c r="A38" s="2" t="s">
        <v>16</v>
      </c>
      <c r="B38" s="2" t="s">
        <v>125</v>
      </c>
      <c r="C38" s="2" t="s">
        <v>126</v>
      </c>
      <c r="D38" s="2" t="s">
        <v>127</v>
      </c>
      <c r="E38" s="3">
        <v>45344</v>
      </c>
      <c r="F38" s="3">
        <v>45710</v>
      </c>
      <c r="G38" s="4">
        <v>0.1</v>
      </c>
      <c r="H38" s="10">
        <v>0.1125</v>
      </c>
      <c r="I38" s="10">
        <v>0.1125</v>
      </c>
      <c r="J38" s="5">
        <v>700000</v>
      </c>
      <c r="K38" s="5">
        <v>556970</v>
      </c>
      <c r="L38" s="5">
        <v>143030</v>
      </c>
      <c r="M38" s="4">
        <v>0.8</v>
      </c>
      <c r="N38" s="2">
        <v>2</v>
      </c>
      <c r="O38" s="5">
        <v>37247</v>
      </c>
      <c r="P38" s="5">
        <v>5396</v>
      </c>
      <c r="Q38" s="3">
        <v>45748</v>
      </c>
      <c r="R38" s="6">
        <f t="shared" si="0"/>
        <v>55697</v>
      </c>
    </row>
    <row r="39" spans="1:18" x14ac:dyDescent="0.25">
      <c r="A39" s="2" t="s">
        <v>16</v>
      </c>
      <c r="B39" s="2" t="s">
        <v>128</v>
      </c>
      <c r="C39" s="2" t="s">
        <v>129</v>
      </c>
      <c r="D39" s="2" t="s">
        <v>130</v>
      </c>
      <c r="E39" s="3">
        <v>45358</v>
      </c>
      <c r="F39" s="3">
        <v>45815</v>
      </c>
      <c r="G39" s="4">
        <v>0.1</v>
      </c>
      <c r="H39" s="10">
        <v>0.11</v>
      </c>
      <c r="I39" s="10">
        <v>0.11</v>
      </c>
      <c r="J39" s="5">
        <v>700000</v>
      </c>
      <c r="K39" s="5">
        <v>700000</v>
      </c>
      <c r="L39" s="5">
        <v>0</v>
      </c>
      <c r="M39" s="4">
        <v>1</v>
      </c>
      <c r="N39" s="2">
        <v>7</v>
      </c>
      <c r="O39" s="5">
        <v>45525</v>
      </c>
      <c r="P39" s="5">
        <v>6383</v>
      </c>
      <c r="Q39" s="3">
        <v>45748</v>
      </c>
      <c r="R39" s="6">
        <f t="shared" si="0"/>
        <v>70000</v>
      </c>
    </row>
    <row r="40" spans="1:18" x14ac:dyDescent="0.25">
      <c r="A40" s="2" t="s">
        <v>16</v>
      </c>
      <c r="B40" s="2" t="s">
        <v>131</v>
      </c>
      <c r="C40" s="2" t="s">
        <v>132</v>
      </c>
      <c r="D40" s="2" t="s">
        <v>133</v>
      </c>
      <c r="E40" s="3">
        <v>45384</v>
      </c>
      <c r="F40" s="3">
        <v>45991</v>
      </c>
      <c r="G40" s="4">
        <v>0.1</v>
      </c>
      <c r="H40" s="10">
        <v>0.1125</v>
      </c>
      <c r="I40" s="10">
        <v>0.1125</v>
      </c>
      <c r="J40" s="5">
        <v>119340</v>
      </c>
      <c r="K40" s="5">
        <v>77010</v>
      </c>
      <c r="L40" s="5">
        <v>42330</v>
      </c>
      <c r="M40" s="4">
        <v>0.65</v>
      </c>
      <c r="N40" s="2">
        <v>10</v>
      </c>
      <c r="O40" s="5">
        <v>13</v>
      </c>
      <c r="P40" s="5">
        <v>722</v>
      </c>
      <c r="Q40" s="3">
        <v>46023</v>
      </c>
      <c r="R40" s="6">
        <f t="shared" si="0"/>
        <v>7701</v>
      </c>
    </row>
    <row r="41" spans="1:18" x14ac:dyDescent="0.25">
      <c r="A41" s="2" t="s">
        <v>16</v>
      </c>
      <c r="B41" s="2" t="s">
        <v>134</v>
      </c>
      <c r="C41" s="2" t="s">
        <v>135</v>
      </c>
      <c r="D41" s="2" t="s">
        <v>136</v>
      </c>
      <c r="E41" s="3">
        <v>45387</v>
      </c>
      <c r="F41" s="3">
        <v>46053</v>
      </c>
      <c r="G41" s="4">
        <v>0.2</v>
      </c>
      <c r="H41" s="10">
        <v>0.1075</v>
      </c>
      <c r="I41" s="10">
        <v>0.1075</v>
      </c>
      <c r="J41" s="5">
        <v>1085000</v>
      </c>
      <c r="K41" s="5">
        <v>893317</v>
      </c>
      <c r="L41" s="5">
        <v>191683</v>
      </c>
      <c r="M41" s="4">
        <v>0.82</v>
      </c>
      <c r="N41" s="2">
        <v>9</v>
      </c>
      <c r="O41" s="5">
        <v>7860</v>
      </c>
      <c r="P41" s="5">
        <v>7860</v>
      </c>
      <c r="Q41" s="3">
        <v>45992</v>
      </c>
      <c r="R41" s="6">
        <f t="shared" si="0"/>
        <v>178663.40000000002</v>
      </c>
    </row>
    <row r="42" spans="1:18" x14ac:dyDescent="0.25">
      <c r="A42" s="2" t="s">
        <v>16</v>
      </c>
      <c r="B42" s="2" t="s">
        <v>137</v>
      </c>
      <c r="C42" s="2" t="s">
        <v>138</v>
      </c>
      <c r="D42" s="2" t="s">
        <v>139</v>
      </c>
      <c r="E42" s="3">
        <v>45393</v>
      </c>
      <c r="F42" s="3">
        <v>45849</v>
      </c>
      <c r="G42" s="4">
        <v>0.1</v>
      </c>
      <c r="H42" s="10">
        <v>0.1075</v>
      </c>
      <c r="I42" s="10">
        <v>0.1075</v>
      </c>
      <c r="J42" s="5">
        <v>1465250</v>
      </c>
      <c r="K42" s="5">
        <v>1465250</v>
      </c>
      <c r="L42" s="5">
        <v>0</v>
      </c>
      <c r="M42" s="4">
        <v>1</v>
      </c>
      <c r="N42" s="2">
        <v>9</v>
      </c>
      <c r="O42" s="5">
        <v>13126</v>
      </c>
      <c r="P42" s="5">
        <v>13126</v>
      </c>
      <c r="Q42" s="3">
        <v>45992</v>
      </c>
      <c r="R42" s="6">
        <f t="shared" si="0"/>
        <v>146525</v>
      </c>
    </row>
    <row r="43" spans="1:18" x14ac:dyDescent="0.25">
      <c r="A43" s="2" t="s">
        <v>16</v>
      </c>
      <c r="B43" s="2" t="s">
        <v>140</v>
      </c>
      <c r="C43" s="2" t="s">
        <v>141</v>
      </c>
      <c r="D43" s="2" t="s">
        <v>142</v>
      </c>
      <c r="E43" s="3">
        <v>45397</v>
      </c>
      <c r="F43" s="3">
        <v>45853</v>
      </c>
      <c r="G43" s="4">
        <v>0.1</v>
      </c>
      <c r="H43" s="10">
        <v>0.105</v>
      </c>
      <c r="I43" s="10">
        <v>0.105</v>
      </c>
      <c r="J43" s="5">
        <v>707500</v>
      </c>
      <c r="K43" s="5">
        <v>707500</v>
      </c>
      <c r="L43" s="5">
        <v>0</v>
      </c>
      <c r="M43" s="4">
        <v>1</v>
      </c>
      <c r="N43" s="2">
        <v>5</v>
      </c>
      <c r="O43" s="5">
        <v>6367</v>
      </c>
      <c r="P43" s="5">
        <v>6190</v>
      </c>
      <c r="Q43" s="3">
        <v>45992</v>
      </c>
      <c r="R43" s="6">
        <f t="shared" si="0"/>
        <v>70750</v>
      </c>
    </row>
    <row r="44" spans="1:18" x14ac:dyDescent="0.25">
      <c r="A44" s="2" t="s">
        <v>16</v>
      </c>
      <c r="B44" s="2" t="s">
        <v>143</v>
      </c>
      <c r="C44" s="2" t="s">
        <v>144</v>
      </c>
      <c r="D44" s="2" t="s">
        <v>145</v>
      </c>
      <c r="E44" s="3">
        <v>45406</v>
      </c>
      <c r="F44" s="3">
        <v>46022</v>
      </c>
      <c r="G44" s="4">
        <v>0.1</v>
      </c>
      <c r="H44" s="10">
        <v>0.1125</v>
      </c>
      <c r="I44" s="10">
        <v>0.1125</v>
      </c>
      <c r="J44" s="5">
        <v>161250</v>
      </c>
      <c r="K44" s="5">
        <v>145405</v>
      </c>
      <c r="L44" s="5">
        <v>15845</v>
      </c>
      <c r="M44" s="4">
        <v>0.9</v>
      </c>
      <c r="N44" s="2">
        <v>11</v>
      </c>
      <c r="O44" s="5">
        <v>1363</v>
      </c>
      <c r="P44" s="5">
        <v>1363</v>
      </c>
      <c r="Q44" s="3">
        <v>45992</v>
      </c>
      <c r="R44" s="6">
        <f t="shared" si="0"/>
        <v>14540.5</v>
      </c>
    </row>
    <row r="45" spans="1:18" x14ac:dyDescent="0.25">
      <c r="A45" s="2" t="s">
        <v>16</v>
      </c>
      <c r="B45" s="2" t="s">
        <v>146</v>
      </c>
      <c r="C45" s="2" t="s">
        <v>147</v>
      </c>
      <c r="D45" s="2" t="s">
        <v>148</v>
      </c>
      <c r="E45" s="3">
        <v>45412</v>
      </c>
      <c r="F45" s="3">
        <v>45960</v>
      </c>
      <c r="G45" s="4">
        <v>0.2</v>
      </c>
      <c r="H45" s="10">
        <v>0.1125</v>
      </c>
      <c r="I45" s="10">
        <v>0.1125</v>
      </c>
      <c r="J45" s="5">
        <v>98140</v>
      </c>
      <c r="K45" s="5">
        <v>75840</v>
      </c>
      <c r="L45" s="5">
        <v>22300</v>
      </c>
      <c r="M45" s="4">
        <v>0.77</v>
      </c>
      <c r="N45" s="2">
        <v>1</v>
      </c>
      <c r="O45" s="5">
        <v>0</v>
      </c>
      <c r="P45" s="5">
        <v>920</v>
      </c>
      <c r="Q45" s="3">
        <v>46023</v>
      </c>
      <c r="R45" s="6">
        <f t="shared" si="0"/>
        <v>15168</v>
      </c>
    </row>
    <row r="46" spans="1:18" x14ac:dyDescent="0.25">
      <c r="A46" s="2" t="s">
        <v>16</v>
      </c>
      <c r="B46" s="2" t="s">
        <v>149</v>
      </c>
      <c r="C46" s="2" t="s">
        <v>150</v>
      </c>
      <c r="D46" s="2" t="s">
        <v>151</v>
      </c>
      <c r="E46" s="3">
        <v>45421</v>
      </c>
      <c r="F46" s="3">
        <v>46090</v>
      </c>
      <c r="G46" s="4">
        <v>0.1</v>
      </c>
      <c r="H46" s="10">
        <v>0.1149</v>
      </c>
      <c r="I46" s="10">
        <v>0.1149</v>
      </c>
      <c r="J46" s="5">
        <v>3960000</v>
      </c>
      <c r="K46" s="5">
        <v>3960000</v>
      </c>
      <c r="L46" s="5">
        <v>0</v>
      </c>
      <c r="M46" s="4">
        <v>1</v>
      </c>
      <c r="N46" s="2">
        <v>8</v>
      </c>
      <c r="O46" s="5">
        <v>0</v>
      </c>
      <c r="P46" s="5">
        <v>37917</v>
      </c>
      <c r="Q46" s="3">
        <v>46023</v>
      </c>
      <c r="R46" s="6">
        <f t="shared" si="0"/>
        <v>396000</v>
      </c>
    </row>
    <row r="47" spans="1:18" x14ac:dyDescent="0.25">
      <c r="A47" s="2" t="s">
        <v>16</v>
      </c>
      <c r="B47" s="2" t="s">
        <v>152</v>
      </c>
      <c r="C47" s="2" t="s">
        <v>153</v>
      </c>
      <c r="D47" s="2" t="s">
        <v>154</v>
      </c>
      <c r="E47" s="3">
        <v>45428</v>
      </c>
      <c r="F47" s="3">
        <v>46022</v>
      </c>
      <c r="G47" s="4">
        <v>0.1</v>
      </c>
      <c r="H47" s="10">
        <v>0.1125</v>
      </c>
      <c r="I47" s="10">
        <v>0.1125</v>
      </c>
      <c r="J47" s="5">
        <v>516240</v>
      </c>
      <c r="K47" s="5">
        <v>405900</v>
      </c>
      <c r="L47" s="5">
        <v>110340</v>
      </c>
      <c r="M47" s="4">
        <v>0.79</v>
      </c>
      <c r="N47" s="2">
        <v>1</v>
      </c>
      <c r="O47" s="5">
        <v>0</v>
      </c>
      <c r="P47" s="5">
        <v>3805</v>
      </c>
      <c r="Q47" s="3">
        <v>46023</v>
      </c>
      <c r="R47" s="6">
        <f t="shared" si="0"/>
        <v>40590</v>
      </c>
    </row>
    <row r="48" spans="1:18" x14ac:dyDescent="0.25">
      <c r="A48" s="2" t="s">
        <v>16</v>
      </c>
      <c r="B48" s="2" t="s">
        <v>155</v>
      </c>
      <c r="C48" s="2" t="s">
        <v>156</v>
      </c>
      <c r="D48" s="2" t="s">
        <v>157</v>
      </c>
      <c r="E48" s="3">
        <v>45450</v>
      </c>
      <c r="F48" s="3">
        <v>45907</v>
      </c>
      <c r="G48" s="4">
        <v>0.1</v>
      </c>
      <c r="H48" s="10">
        <v>0.105</v>
      </c>
      <c r="I48" s="10">
        <v>0.105</v>
      </c>
      <c r="J48" s="5">
        <v>1016000</v>
      </c>
      <c r="K48" s="5">
        <v>1016000</v>
      </c>
      <c r="L48" s="5">
        <v>0</v>
      </c>
      <c r="M48" s="4">
        <v>1</v>
      </c>
      <c r="N48" s="2">
        <v>9</v>
      </c>
      <c r="O48" s="5">
        <v>8890</v>
      </c>
      <c r="P48" s="5">
        <v>8890</v>
      </c>
      <c r="Q48" s="3">
        <v>45992</v>
      </c>
      <c r="R48" s="6">
        <f t="shared" si="0"/>
        <v>101600</v>
      </c>
    </row>
    <row r="49" spans="1:18" x14ac:dyDescent="0.25">
      <c r="A49" s="2" t="s">
        <v>16</v>
      </c>
      <c r="B49" s="2" t="s">
        <v>158</v>
      </c>
      <c r="C49" s="2" t="s">
        <v>159</v>
      </c>
      <c r="D49" s="2" t="s">
        <v>160</v>
      </c>
      <c r="E49" s="3">
        <v>45456</v>
      </c>
      <c r="F49" s="3">
        <v>46094</v>
      </c>
      <c r="G49" s="4">
        <v>0.05</v>
      </c>
      <c r="H49" s="10">
        <v>0.1125</v>
      </c>
      <c r="I49" s="10">
        <v>0.1115</v>
      </c>
      <c r="J49" s="5">
        <v>2276500</v>
      </c>
      <c r="K49" s="5">
        <v>2241254</v>
      </c>
      <c r="L49" s="5">
        <v>35246</v>
      </c>
      <c r="M49" s="4">
        <v>0.98</v>
      </c>
      <c r="N49" s="2">
        <v>12</v>
      </c>
      <c r="O49" s="5">
        <v>0</v>
      </c>
      <c r="P49" s="5">
        <v>21012</v>
      </c>
      <c r="Q49" s="3">
        <v>46023</v>
      </c>
      <c r="R49" s="6">
        <f t="shared" si="0"/>
        <v>112062.70000000001</v>
      </c>
    </row>
    <row r="50" spans="1:18" x14ac:dyDescent="0.25">
      <c r="A50" s="2" t="s">
        <v>16</v>
      </c>
      <c r="B50" s="2" t="s">
        <v>161</v>
      </c>
      <c r="C50" s="2" t="s">
        <v>162</v>
      </c>
      <c r="D50" s="2" t="s">
        <v>163</v>
      </c>
      <c r="E50" s="3">
        <v>45464</v>
      </c>
      <c r="F50" s="3">
        <v>46012</v>
      </c>
      <c r="G50" s="4">
        <v>0.1</v>
      </c>
      <c r="H50" s="10">
        <v>0.105</v>
      </c>
      <c r="I50" s="10">
        <v>0.105</v>
      </c>
      <c r="J50" s="5">
        <v>650500</v>
      </c>
      <c r="K50" s="5">
        <v>608643</v>
      </c>
      <c r="L50" s="5">
        <v>41857</v>
      </c>
      <c r="M50" s="4">
        <v>0.94</v>
      </c>
      <c r="N50" s="2">
        <v>7</v>
      </c>
      <c r="O50" s="5">
        <v>0</v>
      </c>
      <c r="P50" s="5">
        <v>5316</v>
      </c>
      <c r="Q50" s="3">
        <v>46023</v>
      </c>
      <c r="R50" s="6">
        <f t="shared" si="0"/>
        <v>60864.3</v>
      </c>
    </row>
    <row r="51" spans="1:18" x14ac:dyDescent="0.25">
      <c r="A51" s="2" t="s">
        <v>16</v>
      </c>
      <c r="B51" s="2" t="s">
        <v>164</v>
      </c>
      <c r="C51" s="2" t="s">
        <v>165</v>
      </c>
      <c r="D51" s="2" t="s">
        <v>166</v>
      </c>
      <c r="E51" s="3">
        <v>45470</v>
      </c>
      <c r="F51" s="3">
        <v>45835</v>
      </c>
      <c r="G51" s="4">
        <v>0.1</v>
      </c>
      <c r="H51" s="10">
        <v>0.1125</v>
      </c>
      <c r="I51" s="10">
        <v>0.1115</v>
      </c>
      <c r="J51" s="5">
        <v>926500</v>
      </c>
      <c r="K51" s="5">
        <v>695000</v>
      </c>
      <c r="L51" s="5">
        <v>231500</v>
      </c>
      <c r="M51" s="4">
        <v>0.75</v>
      </c>
      <c r="N51" s="2">
        <v>1</v>
      </c>
      <c r="O51" s="5">
        <v>26497</v>
      </c>
      <c r="P51" s="5">
        <v>6516</v>
      </c>
      <c r="Q51" s="3">
        <v>45566</v>
      </c>
      <c r="R51" s="6">
        <f t="shared" si="0"/>
        <v>69500</v>
      </c>
    </row>
    <row r="52" spans="1:18" x14ac:dyDescent="0.25">
      <c r="A52" s="2" t="s">
        <v>16</v>
      </c>
      <c r="B52" s="2" t="s">
        <v>167</v>
      </c>
      <c r="C52" s="2" t="s">
        <v>168</v>
      </c>
      <c r="D52" s="2" t="s">
        <v>169</v>
      </c>
      <c r="E52" s="3">
        <v>45471</v>
      </c>
      <c r="F52" s="3">
        <v>46019</v>
      </c>
      <c r="G52" s="4">
        <v>0.2</v>
      </c>
      <c r="H52" s="10">
        <v>0.105</v>
      </c>
      <c r="I52" s="10">
        <v>0.1047</v>
      </c>
      <c r="J52" s="5">
        <v>690200</v>
      </c>
      <c r="K52" s="5">
        <v>552144</v>
      </c>
      <c r="L52" s="5">
        <v>138056</v>
      </c>
      <c r="M52" s="4">
        <v>0.8</v>
      </c>
      <c r="N52" s="2">
        <v>2</v>
      </c>
      <c r="O52" s="5">
        <v>0</v>
      </c>
      <c r="P52" s="5">
        <v>4778</v>
      </c>
      <c r="Q52" s="3">
        <v>46023</v>
      </c>
      <c r="R52" s="6">
        <f t="shared" si="0"/>
        <v>110428.8</v>
      </c>
    </row>
    <row r="53" spans="1:18" x14ac:dyDescent="0.25">
      <c r="A53" s="2" t="s">
        <v>16</v>
      </c>
      <c r="B53" s="2" t="s">
        <v>170</v>
      </c>
      <c r="C53" s="2" t="s">
        <v>171</v>
      </c>
      <c r="D53" s="2" t="s">
        <v>172</v>
      </c>
      <c r="E53" s="3">
        <v>45476</v>
      </c>
      <c r="F53" s="3">
        <v>46025</v>
      </c>
      <c r="G53" s="4">
        <v>0.1</v>
      </c>
      <c r="H53" s="10">
        <v>0.1075</v>
      </c>
      <c r="I53" s="10">
        <v>0.1065</v>
      </c>
      <c r="J53" s="5">
        <v>493250</v>
      </c>
      <c r="K53" s="5">
        <v>493250</v>
      </c>
      <c r="L53" s="5">
        <v>0</v>
      </c>
      <c r="M53" s="4">
        <v>1</v>
      </c>
      <c r="N53" s="2">
        <v>2</v>
      </c>
      <c r="O53" s="5">
        <v>0</v>
      </c>
      <c r="P53" s="5">
        <v>4419</v>
      </c>
      <c r="Q53" s="3">
        <v>46023</v>
      </c>
      <c r="R53" s="6">
        <f t="shared" si="0"/>
        <v>49325</v>
      </c>
    </row>
    <row r="54" spans="1:18" x14ac:dyDescent="0.25">
      <c r="A54" s="2" t="s">
        <v>16</v>
      </c>
      <c r="B54" s="2" t="s">
        <v>173</v>
      </c>
      <c r="C54" s="2" t="s">
        <v>174</v>
      </c>
      <c r="D54" s="2" t="s">
        <v>175</v>
      </c>
      <c r="E54" s="3">
        <v>45485</v>
      </c>
      <c r="F54" s="3">
        <v>45850</v>
      </c>
      <c r="G54" s="4">
        <v>0.1</v>
      </c>
      <c r="H54" s="10">
        <v>0.1125</v>
      </c>
      <c r="I54" s="10">
        <v>0.1105</v>
      </c>
      <c r="J54" s="5">
        <v>735000</v>
      </c>
      <c r="K54" s="5">
        <v>584054</v>
      </c>
      <c r="L54" s="5">
        <v>150946</v>
      </c>
      <c r="M54" s="4">
        <v>0.79</v>
      </c>
      <c r="N54" s="2">
        <v>3</v>
      </c>
      <c r="O54" s="5">
        <v>16706</v>
      </c>
      <c r="P54" s="5">
        <v>5573</v>
      </c>
      <c r="Q54" s="3">
        <v>45870</v>
      </c>
      <c r="R54" s="6">
        <f t="shared" si="0"/>
        <v>58405.4</v>
      </c>
    </row>
    <row r="55" spans="1:18" x14ac:dyDescent="0.25">
      <c r="A55" s="2" t="s">
        <v>16</v>
      </c>
      <c r="B55" s="2" t="s">
        <v>176</v>
      </c>
      <c r="C55" s="2" t="s">
        <v>177</v>
      </c>
      <c r="D55" s="2" t="s">
        <v>178</v>
      </c>
      <c r="E55" s="3">
        <v>45499</v>
      </c>
      <c r="F55" s="3">
        <v>45864</v>
      </c>
      <c r="G55" s="4">
        <v>0.1</v>
      </c>
      <c r="H55" s="10">
        <v>0.11</v>
      </c>
      <c r="I55" s="10">
        <v>0.109</v>
      </c>
      <c r="J55" s="5">
        <v>410000</v>
      </c>
      <c r="K55" s="5">
        <v>410000</v>
      </c>
      <c r="L55" s="5">
        <v>0</v>
      </c>
      <c r="M55" s="4">
        <v>1</v>
      </c>
      <c r="N55" s="2">
        <v>1</v>
      </c>
      <c r="O55" s="5">
        <v>0</v>
      </c>
      <c r="P55" s="5">
        <v>3758</v>
      </c>
      <c r="Q55" s="3">
        <v>46023</v>
      </c>
      <c r="R55" s="6">
        <f t="shared" si="0"/>
        <v>41000</v>
      </c>
    </row>
    <row r="56" spans="1:18" x14ac:dyDescent="0.25">
      <c r="A56" s="2" t="s">
        <v>16</v>
      </c>
      <c r="B56" s="2" t="s">
        <v>179</v>
      </c>
      <c r="C56" s="2" t="s">
        <v>180</v>
      </c>
      <c r="D56" s="2" t="s">
        <v>181</v>
      </c>
      <c r="E56" s="3">
        <v>45516</v>
      </c>
      <c r="F56" s="3">
        <v>46065</v>
      </c>
      <c r="G56" s="4">
        <v>0.1</v>
      </c>
      <c r="H56" s="10">
        <v>0.1125</v>
      </c>
      <c r="I56" s="10">
        <v>0.1115</v>
      </c>
      <c r="J56" s="5">
        <v>145953</v>
      </c>
      <c r="K56" s="5">
        <v>145953</v>
      </c>
      <c r="L56" s="5">
        <v>0</v>
      </c>
      <c r="M56" s="4">
        <v>1</v>
      </c>
      <c r="N56" s="2">
        <v>6</v>
      </c>
      <c r="O56" s="5">
        <v>34</v>
      </c>
      <c r="P56" s="5">
        <v>1368</v>
      </c>
      <c r="Q56" s="3">
        <v>46023</v>
      </c>
      <c r="R56" s="6">
        <f t="shared" si="0"/>
        <v>14595.300000000001</v>
      </c>
    </row>
    <row r="57" spans="1:18" x14ac:dyDescent="0.25">
      <c r="A57" s="2" t="s">
        <v>16</v>
      </c>
      <c r="B57" s="2" t="s">
        <v>182</v>
      </c>
      <c r="C57" s="2" t="s">
        <v>183</v>
      </c>
      <c r="D57" s="2" t="s">
        <v>184</v>
      </c>
      <c r="E57" s="3">
        <v>45520</v>
      </c>
      <c r="F57" s="3">
        <v>46069</v>
      </c>
      <c r="G57" s="4">
        <v>0.1</v>
      </c>
      <c r="H57" s="10">
        <v>0.115</v>
      </c>
      <c r="I57" s="10">
        <v>0.1137</v>
      </c>
      <c r="J57" s="5">
        <v>1547085</v>
      </c>
      <c r="K57" s="5">
        <v>1168851</v>
      </c>
      <c r="L57" s="5">
        <v>378234</v>
      </c>
      <c r="M57" s="4">
        <v>0.76</v>
      </c>
      <c r="N57" s="2">
        <v>14</v>
      </c>
      <c r="O57" s="5">
        <v>0</v>
      </c>
      <c r="P57" s="5">
        <v>10597</v>
      </c>
      <c r="Q57" s="3">
        <v>46023</v>
      </c>
      <c r="R57" s="6">
        <f t="shared" si="0"/>
        <v>116885.1</v>
      </c>
    </row>
    <row r="58" spans="1:18" x14ac:dyDescent="0.25">
      <c r="A58" s="2" t="s">
        <v>16</v>
      </c>
      <c r="B58" s="2" t="s">
        <v>185</v>
      </c>
      <c r="C58" s="2" t="s">
        <v>186</v>
      </c>
      <c r="D58" s="2" t="s">
        <v>187</v>
      </c>
      <c r="E58" s="3">
        <v>45541</v>
      </c>
      <c r="F58" s="3">
        <v>46087</v>
      </c>
      <c r="G58" s="4">
        <v>0.1</v>
      </c>
      <c r="H58" s="10">
        <v>0.11749999999999999</v>
      </c>
      <c r="I58" s="10">
        <v>0.11650000000000001</v>
      </c>
      <c r="J58" s="5">
        <v>231000</v>
      </c>
      <c r="K58" s="5">
        <v>210469</v>
      </c>
      <c r="L58" s="5">
        <v>20531</v>
      </c>
      <c r="M58" s="4">
        <v>0.91</v>
      </c>
      <c r="N58" s="2">
        <v>24</v>
      </c>
      <c r="O58" s="5">
        <v>0</v>
      </c>
      <c r="P58" s="5">
        <v>2061</v>
      </c>
      <c r="Q58" s="3">
        <v>46023</v>
      </c>
      <c r="R58" s="6">
        <f t="shared" si="0"/>
        <v>21046.9</v>
      </c>
    </row>
    <row r="59" spans="1:18" x14ac:dyDescent="0.25">
      <c r="A59" s="2" t="s">
        <v>16</v>
      </c>
      <c r="B59" s="2" t="s">
        <v>188</v>
      </c>
      <c r="C59" s="2" t="s">
        <v>189</v>
      </c>
      <c r="D59" s="2" t="s">
        <v>190</v>
      </c>
      <c r="E59" s="3">
        <v>45548</v>
      </c>
      <c r="F59" s="3">
        <v>46094</v>
      </c>
      <c r="G59" s="4">
        <v>0.1</v>
      </c>
      <c r="H59" s="10">
        <v>0.11749999999999999</v>
      </c>
      <c r="I59" s="10">
        <v>0.11650000000000001</v>
      </c>
      <c r="J59" s="5">
        <v>248500</v>
      </c>
      <c r="K59" s="5">
        <v>248169</v>
      </c>
      <c r="L59" s="5">
        <v>331</v>
      </c>
      <c r="M59" s="4">
        <v>1</v>
      </c>
      <c r="N59" s="2">
        <v>26</v>
      </c>
      <c r="O59" s="5">
        <v>0</v>
      </c>
      <c r="P59" s="5">
        <v>2430</v>
      </c>
      <c r="Q59" s="3">
        <v>46023</v>
      </c>
      <c r="R59" s="6">
        <f t="shared" si="0"/>
        <v>24816.9</v>
      </c>
    </row>
    <row r="60" spans="1:18" x14ac:dyDescent="0.25">
      <c r="A60" s="2" t="s">
        <v>16</v>
      </c>
      <c r="B60" s="2" t="s">
        <v>191</v>
      </c>
      <c r="C60" s="2" t="s">
        <v>192</v>
      </c>
      <c r="D60" s="2" t="s">
        <v>193</v>
      </c>
      <c r="E60" s="3">
        <v>45560</v>
      </c>
      <c r="F60" s="3">
        <v>46106</v>
      </c>
      <c r="G60" s="4">
        <v>0.15</v>
      </c>
      <c r="H60" s="10">
        <v>0.1075</v>
      </c>
      <c r="I60" s="10">
        <v>0.1065</v>
      </c>
      <c r="J60" s="5">
        <v>784895</v>
      </c>
      <c r="K60" s="5">
        <v>777395</v>
      </c>
      <c r="L60" s="5">
        <v>7500</v>
      </c>
      <c r="M60" s="4">
        <v>0.99</v>
      </c>
      <c r="N60" s="2">
        <v>4</v>
      </c>
      <c r="O60" s="5">
        <v>0</v>
      </c>
      <c r="P60" s="5">
        <v>6964</v>
      </c>
      <c r="Q60" s="3">
        <v>46023</v>
      </c>
      <c r="R60" s="6">
        <f t="shared" si="0"/>
        <v>116609.25</v>
      </c>
    </row>
    <row r="61" spans="1:18" x14ac:dyDescent="0.25">
      <c r="A61" s="2" t="s">
        <v>16</v>
      </c>
      <c r="B61" s="2" t="s">
        <v>194</v>
      </c>
      <c r="C61" s="2" t="s">
        <v>195</v>
      </c>
      <c r="D61" s="2" t="s">
        <v>196</v>
      </c>
      <c r="E61" s="3">
        <v>45562</v>
      </c>
      <c r="F61" s="3">
        <v>46018</v>
      </c>
      <c r="G61" s="4">
        <v>0.1</v>
      </c>
      <c r="H61" s="10">
        <v>0.1125</v>
      </c>
      <c r="I61" s="10">
        <v>0.1115</v>
      </c>
      <c r="J61" s="5">
        <v>170000</v>
      </c>
      <c r="K61" s="5">
        <v>168750</v>
      </c>
      <c r="L61" s="5">
        <v>1250</v>
      </c>
      <c r="M61" s="4">
        <v>0.99</v>
      </c>
      <c r="N61" s="2">
        <v>12</v>
      </c>
      <c r="O61" s="5">
        <v>1582</v>
      </c>
      <c r="P61" s="5">
        <v>1582</v>
      </c>
      <c r="Q61" s="3">
        <v>45992</v>
      </c>
      <c r="R61" s="6">
        <f t="shared" si="0"/>
        <v>16875</v>
      </c>
    </row>
    <row r="62" spans="1:18" x14ac:dyDescent="0.25">
      <c r="A62" s="2" t="s">
        <v>16</v>
      </c>
      <c r="B62" s="2" t="s">
        <v>197</v>
      </c>
      <c r="C62" s="2" t="s">
        <v>198</v>
      </c>
      <c r="D62" s="2" t="s">
        <v>199</v>
      </c>
      <c r="E62" s="3">
        <v>45567</v>
      </c>
      <c r="F62" s="3">
        <v>46024</v>
      </c>
      <c r="G62" s="4">
        <v>0.15</v>
      </c>
      <c r="H62" s="10">
        <v>0.1125</v>
      </c>
      <c r="I62" s="10">
        <v>0.1115</v>
      </c>
      <c r="J62" s="5">
        <v>143760</v>
      </c>
      <c r="K62" s="5">
        <v>92325</v>
      </c>
      <c r="L62" s="5">
        <v>51435</v>
      </c>
      <c r="M62" s="4">
        <v>0.64</v>
      </c>
      <c r="N62" s="2">
        <v>6</v>
      </c>
      <c r="O62" s="5">
        <v>9</v>
      </c>
      <c r="P62" s="5">
        <v>866</v>
      </c>
      <c r="Q62" s="3">
        <v>46023</v>
      </c>
      <c r="R62" s="6">
        <f t="shared" si="0"/>
        <v>13848.75</v>
      </c>
    </row>
    <row r="63" spans="1:18" x14ac:dyDescent="0.25">
      <c r="A63" s="2" t="s">
        <v>16</v>
      </c>
      <c r="B63" s="2" t="s">
        <v>200</v>
      </c>
      <c r="C63" s="2" t="s">
        <v>201</v>
      </c>
      <c r="D63" s="2" t="s">
        <v>202</v>
      </c>
      <c r="E63" s="3">
        <v>45595</v>
      </c>
      <c r="F63" s="3">
        <v>46052</v>
      </c>
      <c r="G63" s="4">
        <v>0.1</v>
      </c>
      <c r="H63" s="10">
        <v>0.1125</v>
      </c>
      <c r="I63" s="10">
        <v>0.1101</v>
      </c>
      <c r="J63" s="5">
        <v>331300</v>
      </c>
      <c r="K63" s="5">
        <v>329493</v>
      </c>
      <c r="L63" s="5">
        <v>1807</v>
      </c>
      <c r="M63" s="4">
        <v>0.99</v>
      </c>
      <c r="N63" s="2">
        <v>6</v>
      </c>
      <c r="O63" s="5">
        <v>0</v>
      </c>
      <c r="P63" s="5">
        <v>2998</v>
      </c>
      <c r="Q63" s="3">
        <v>46023</v>
      </c>
      <c r="R63" s="6">
        <f t="shared" si="0"/>
        <v>32949.300000000003</v>
      </c>
    </row>
    <row r="64" spans="1:18" x14ac:dyDescent="0.25">
      <c r="A64" s="2" t="s">
        <v>16</v>
      </c>
      <c r="B64" s="2" t="s">
        <v>203</v>
      </c>
      <c r="C64" s="2" t="s">
        <v>204</v>
      </c>
      <c r="D64" s="2" t="s">
        <v>205</v>
      </c>
      <c r="E64" s="3">
        <v>45608</v>
      </c>
      <c r="F64" s="3">
        <v>46154</v>
      </c>
      <c r="G64" s="4">
        <v>0.1</v>
      </c>
      <c r="H64" s="10">
        <v>0.1075</v>
      </c>
      <c r="I64" s="10">
        <v>0.1065</v>
      </c>
      <c r="J64" s="5">
        <v>1520125</v>
      </c>
      <c r="K64" s="5">
        <v>810000</v>
      </c>
      <c r="L64" s="5">
        <v>710125</v>
      </c>
      <c r="M64" s="4">
        <v>0.53</v>
      </c>
      <c r="N64" s="2">
        <v>1</v>
      </c>
      <c r="O64" s="5">
        <v>0</v>
      </c>
      <c r="P64" s="5">
        <v>7256</v>
      </c>
      <c r="Q64" s="3">
        <v>46023</v>
      </c>
      <c r="R64" s="6">
        <f t="shared" si="0"/>
        <v>81000</v>
      </c>
    </row>
    <row r="65" spans="1:18" x14ac:dyDescent="0.25">
      <c r="A65" s="2" t="s">
        <v>16</v>
      </c>
      <c r="B65" s="2" t="s">
        <v>206</v>
      </c>
      <c r="C65" s="2" t="s">
        <v>207</v>
      </c>
      <c r="D65" s="2" t="s">
        <v>208</v>
      </c>
      <c r="E65" s="3">
        <v>45618</v>
      </c>
      <c r="F65" s="3">
        <v>45983</v>
      </c>
      <c r="G65" s="4">
        <v>0.1</v>
      </c>
      <c r="H65" s="10">
        <v>0.11</v>
      </c>
      <c r="I65" s="10">
        <v>0.109</v>
      </c>
      <c r="J65" s="5">
        <v>199500</v>
      </c>
      <c r="K65" s="5">
        <v>161190</v>
      </c>
      <c r="L65" s="5">
        <v>38310</v>
      </c>
      <c r="M65" s="4">
        <v>0.81</v>
      </c>
      <c r="N65" s="2">
        <v>2</v>
      </c>
      <c r="O65" s="5">
        <v>3280</v>
      </c>
      <c r="P65" s="5">
        <v>1527</v>
      </c>
      <c r="Q65" s="3">
        <v>45962</v>
      </c>
      <c r="R65" s="6">
        <f t="shared" si="0"/>
        <v>16119</v>
      </c>
    </row>
    <row r="66" spans="1:18" x14ac:dyDescent="0.25">
      <c r="A66" s="2" t="s">
        <v>16</v>
      </c>
      <c r="B66" s="2" t="s">
        <v>209</v>
      </c>
      <c r="C66" s="2" t="s">
        <v>210</v>
      </c>
      <c r="D66" s="2" t="s">
        <v>211</v>
      </c>
      <c r="E66" s="3">
        <v>45618</v>
      </c>
      <c r="F66" s="3">
        <v>45983</v>
      </c>
      <c r="G66" s="4">
        <v>0.1</v>
      </c>
      <c r="H66" s="10">
        <v>0.11</v>
      </c>
      <c r="I66" s="10">
        <v>0.109</v>
      </c>
      <c r="J66" s="5">
        <v>180000</v>
      </c>
      <c r="K66" s="5">
        <v>162000</v>
      </c>
      <c r="L66" s="5">
        <v>18000</v>
      </c>
      <c r="M66" s="4">
        <v>0.9</v>
      </c>
      <c r="N66" s="2">
        <v>2</v>
      </c>
      <c r="O66" s="5">
        <v>4919</v>
      </c>
      <c r="P66" s="5">
        <v>1485</v>
      </c>
      <c r="Q66" s="3">
        <v>45931</v>
      </c>
      <c r="R66" s="6">
        <f t="shared" ref="R66:R97" si="1">G66*K66</f>
        <v>16200</v>
      </c>
    </row>
    <row r="67" spans="1:18" x14ac:dyDescent="0.25">
      <c r="A67" s="2" t="s">
        <v>16</v>
      </c>
      <c r="B67" s="2" t="s">
        <v>212</v>
      </c>
      <c r="C67" s="2" t="s">
        <v>213</v>
      </c>
      <c r="D67" s="2" t="s">
        <v>214</v>
      </c>
      <c r="E67" s="3">
        <v>45618</v>
      </c>
      <c r="F67" s="3">
        <v>45983</v>
      </c>
      <c r="G67" s="4">
        <v>0.1</v>
      </c>
      <c r="H67" s="10">
        <v>0.11</v>
      </c>
      <c r="I67" s="10">
        <v>0.109</v>
      </c>
      <c r="J67" s="5">
        <v>180000</v>
      </c>
      <c r="K67" s="5">
        <v>177500</v>
      </c>
      <c r="L67" s="5">
        <v>2500</v>
      </c>
      <c r="M67" s="4">
        <v>0.99</v>
      </c>
      <c r="N67" s="2">
        <v>4</v>
      </c>
      <c r="O67" s="5">
        <v>4935</v>
      </c>
      <c r="P67" s="5">
        <v>1627</v>
      </c>
      <c r="Q67" s="3">
        <v>45931</v>
      </c>
      <c r="R67" s="6">
        <f t="shared" si="1"/>
        <v>17750</v>
      </c>
    </row>
    <row r="68" spans="1:18" x14ac:dyDescent="0.25">
      <c r="A68" s="2" t="s">
        <v>16</v>
      </c>
      <c r="B68" s="2" t="s">
        <v>215</v>
      </c>
      <c r="C68" s="2" t="s">
        <v>216</v>
      </c>
      <c r="D68" s="2" t="s">
        <v>217</v>
      </c>
      <c r="E68" s="3">
        <v>45618</v>
      </c>
      <c r="F68" s="3">
        <v>45983</v>
      </c>
      <c r="G68" s="4">
        <v>0.1</v>
      </c>
      <c r="H68" s="10">
        <v>0.11</v>
      </c>
      <c r="I68" s="10">
        <v>0.109</v>
      </c>
      <c r="J68" s="5">
        <v>180000</v>
      </c>
      <c r="K68" s="5">
        <v>172300</v>
      </c>
      <c r="L68" s="5">
        <v>7700</v>
      </c>
      <c r="M68" s="4">
        <v>0.96</v>
      </c>
      <c r="N68" s="2">
        <v>2</v>
      </c>
      <c r="O68" s="5">
        <v>4791</v>
      </c>
      <c r="P68" s="5">
        <v>1579</v>
      </c>
      <c r="Q68" s="3">
        <v>45931</v>
      </c>
      <c r="R68" s="6">
        <f t="shared" si="1"/>
        <v>17230</v>
      </c>
    </row>
    <row r="69" spans="1:18" x14ac:dyDescent="0.25">
      <c r="A69" s="2" t="s">
        <v>16</v>
      </c>
      <c r="B69" s="2" t="s">
        <v>218</v>
      </c>
      <c r="C69" s="2" t="s">
        <v>219</v>
      </c>
      <c r="D69" s="2" t="s">
        <v>220</v>
      </c>
      <c r="E69" s="3">
        <v>45618</v>
      </c>
      <c r="F69" s="3">
        <v>45983</v>
      </c>
      <c r="G69" s="4">
        <v>0.1</v>
      </c>
      <c r="H69" s="10">
        <v>0.11</v>
      </c>
      <c r="I69" s="10">
        <v>0.109</v>
      </c>
      <c r="J69" s="5">
        <v>199340</v>
      </c>
      <c r="K69" s="5">
        <v>170000</v>
      </c>
      <c r="L69" s="5">
        <v>29340</v>
      </c>
      <c r="M69" s="4">
        <v>0.85</v>
      </c>
      <c r="N69" s="2">
        <v>4</v>
      </c>
      <c r="O69" s="5">
        <v>4727</v>
      </c>
      <c r="P69" s="5">
        <v>1558</v>
      </c>
      <c r="Q69" s="3">
        <v>45931</v>
      </c>
      <c r="R69" s="6">
        <f t="shared" si="1"/>
        <v>17000</v>
      </c>
    </row>
    <row r="70" spans="1:18" x14ac:dyDescent="0.25">
      <c r="A70" s="2" t="s">
        <v>16</v>
      </c>
      <c r="B70" s="2" t="s">
        <v>221</v>
      </c>
      <c r="C70" s="2" t="s">
        <v>222</v>
      </c>
      <c r="D70" s="2" t="s">
        <v>223</v>
      </c>
      <c r="E70" s="3">
        <v>45629</v>
      </c>
      <c r="F70" s="3">
        <v>46084</v>
      </c>
      <c r="G70" s="4">
        <v>0.1</v>
      </c>
      <c r="H70" s="10">
        <v>0.105</v>
      </c>
      <c r="I70" s="10">
        <v>0.10400000000000001</v>
      </c>
      <c r="J70" s="5">
        <v>390000</v>
      </c>
      <c r="K70" s="5">
        <v>340000</v>
      </c>
      <c r="L70" s="5">
        <v>50000</v>
      </c>
      <c r="M70" s="4">
        <v>0.87</v>
      </c>
      <c r="N70" s="2">
        <v>1</v>
      </c>
      <c r="O70" s="5">
        <v>0</v>
      </c>
      <c r="P70" s="5">
        <v>2975</v>
      </c>
      <c r="Q70" s="3">
        <v>46023</v>
      </c>
      <c r="R70" s="6">
        <f t="shared" si="1"/>
        <v>34000</v>
      </c>
    </row>
    <row r="71" spans="1:18" x14ac:dyDescent="0.25">
      <c r="A71" s="2" t="s">
        <v>16</v>
      </c>
      <c r="B71" s="2" t="s">
        <v>224</v>
      </c>
      <c r="C71" s="2" t="s">
        <v>225</v>
      </c>
      <c r="D71" s="2" t="s">
        <v>226</v>
      </c>
      <c r="E71" s="3">
        <v>45636</v>
      </c>
      <c r="F71" s="3">
        <v>46001</v>
      </c>
      <c r="G71" s="4">
        <v>0</v>
      </c>
      <c r="H71" s="10">
        <v>0.1075</v>
      </c>
      <c r="I71" s="10">
        <v>0.10619999999999999</v>
      </c>
      <c r="J71" s="5">
        <v>227380</v>
      </c>
      <c r="K71" s="5">
        <v>227380</v>
      </c>
      <c r="L71" s="5">
        <v>0</v>
      </c>
      <c r="M71" s="4">
        <v>1</v>
      </c>
      <c r="N71" s="2">
        <v>7</v>
      </c>
      <c r="O71" s="5">
        <v>0</v>
      </c>
      <c r="P71" s="5">
        <v>2037</v>
      </c>
      <c r="Q71" s="3">
        <v>46023</v>
      </c>
      <c r="R71" s="6">
        <f t="shared" si="1"/>
        <v>0</v>
      </c>
    </row>
    <row r="72" spans="1:18" x14ac:dyDescent="0.25">
      <c r="A72" s="2" t="s">
        <v>16</v>
      </c>
      <c r="B72" s="2" t="s">
        <v>227</v>
      </c>
      <c r="C72" s="2" t="s">
        <v>228</v>
      </c>
      <c r="D72" s="2" t="s">
        <v>229</v>
      </c>
      <c r="E72" s="3">
        <v>45637</v>
      </c>
      <c r="F72" s="3">
        <v>46184</v>
      </c>
      <c r="G72" s="4">
        <v>0.1</v>
      </c>
      <c r="H72" s="10">
        <v>0.11</v>
      </c>
      <c r="I72" s="10">
        <v>0.10710000000000001</v>
      </c>
      <c r="J72" s="5">
        <v>351400</v>
      </c>
      <c r="K72" s="5">
        <v>253369</v>
      </c>
      <c r="L72" s="5">
        <v>98031</v>
      </c>
      <c r="M72" s="4">
        <v>0.72</v>
      </c>
      <c r="N72" s="2">
        <v>4</v>
      </c>
      <c r="O72" s="5">
        <v>0</v>
      </c>
      <c r="P72" s="5">
        <v>2323</v>
      </c>
      <c r="Q72" s="3">
        <v>46023</v>
      </c>
      <c r="R72" s="6">
        <f t="shared" si="1"/>
        <v>25336.9</v>
      </c>
    </row>
    <row r="73" spans="1:18" x14ac:dyDescent="0.25">
      <c r="A73" s="2" t="s">
        <v>16</v>
      </c>
      <c r="B73" s="2" t="s">
        <v>230</v>
      </c>
      <c r="C73" s="2" t="s">
        <v>231</v>
      </c>
      <c r="D73" s="2" t="s">
        <v>232</v>
      </c>
      <c r="E73" s="3">
        <v>45642</v>
      </c>
      <c r="F73" s="3">
        <v>46189</v>
      </c>
      <c r="G73" s="4">
        <v>0.2</v>
      </c>
      <c r="H73" s="10">
        <v>0.115</v>
      </c>
      <c r="I73" s="10">
        <v>0.114</v>
      </c>
      <c r="J73" s="5">
        <v>1645750</v>
      </c>
      <c r="K73" s="5">
        <v>1084050</v>
      </c>
      <c r="L73" s="5">
        <v>561700</v>
      </c>
      <c r="M73" s="4">
        <v>0.66</v>
      </c>
      <c r="N73" s="2">
        <v>3</v>
      </c>
      <c r="O73" s="5">
        <v>0</v>
      </c>
      <c r="P73" s="5">
        <v>8754</v>
      </c>
      <c r="Q73" s="3">
        <v>46023</v>
      </c>
      <c r="R73" s="6">
        <f t="shared" si="1"/>
        <v>216810</v>
      </c>
    </row>
    <row r="74" spans="1:18" x14ac:dyDescent="0.25">
      <c r="A74" s="2" t="s">
        <v>16</v>
      </c>
      <c r="B74" s="2" t="s">
        <v>233</v>
      </c>
      <c r="C74" s="2" t="s">
        <v>234</v>
      </c>
      <c r="D74" s="2" t="s">
        <v>235</v>
      </c>
      <c r="E74" s="3">
        <v>45667</v>
      </c>
      <c r="F74" s="3">
        <v>46032</v>
      </c>
      <c r="G74" s="4">
        <v>0.15</v>
      </c>
      <c r="H74" s="10">
        <v>0.1075</v>
      </c>
      <c r="I74" s="10">
        <v>0.10619999999999999</v>
      </c>
      <c r="J74" s="5">
        <v>122000</v>
      </c>
      <c r="K74" s="5">
        <v>72000</v>
      </c>
      <c r="L74" s="5">
        <v>50000</v>
      </c>
      <c r="M74" s="4">
        <v>0.59</v>
      </c>
      <c r="N74" s="2">
        <v>1</v>
      </c>
      <c r="O74" s="5">
        <v>0</v>
      </c>
      <c r="P74" s="5">
        <v>645</v>
      </c>
      <c r="Q74" s="3">
        <v>46023</v>
      </c>
      <c r="R74" s="6">
        <f t="shared" si="1"/>
        <v>10800</v>
      </c>
    </row>
    <row r="75" spans="1:18" x14ac:dyDescent="0.25">
      <c r="A75" s="2" t="s">
        <v>16</v>
      </c>
      <c r="B75" s="2" t="s">
        <v>236</v>
      </c>
      <c r="C75" s="2" t="s">
        <v>237</v>
      </c>
      <c r="D75" s="2" t="s">
        <v>238</v>
      </c>
      <c r="E75" s="3">
        <v>45673</v>
      </c>
      <c r="F75" s="3">
        <v>46038</v>
      </c>
      <c r="G75" s="4">
        <v>0.1</v>
      </c>
      <c r="H75" s="10">
        <v>0.105</v>
      </c>
      <c r="I75" s="10">
        <v>0.10400000000000001</v>
      </c>
      <c r="J75" s="5">
        <v>3384350</v>
      </c>
      <c r="K75" s="5">
        <v>3028250</v>
      </c>
      <c r="L75" s="5">
        <v>356100</v>
      </c>
      <c r="M75" s="4">
        <v>0.89</v>
      </c>
      <c r="N75" s="2">
        <v>7</v>
      </c>
      <c r="O75" s="5">
        <v>0</v>
      </c>
      <c r="P75" s="5">
        <v>26497</v>
      </c>
      <c r="Q75" s="3">
        <v>46023</v>
      </c>
      <c r="R75" s="6">
        <f t="shared" si="1"/>
        <v>302825</v>
      </c>
    </row>
    <row r="76" spans="1:18" x14ac:dyDescent="0.25">
      <c r="A76" s="2" t="s">
        <v>16</v>
      </c>
      <c r="B76" s="2" t="s">
        <v>239</v>
      </c>
      <c r="C76" s="2" t="s">
        <v>240</v>
      </c>
      <c r="D76" s="2" t="s">
        <v>241</v>
      </c>
      <c r="E76" s="3">
        <v>45674</v>
      </c>
      <c r="F76" s="3">
        <v>46039</v>
      </c>
      <c r="G76" s="4">
        <v>0.1</v>
      </c>
      <c r="H76" s="10">
        <v>0.1125</v>
      </c>
      <c r="I76" s="10">
        <v>0.1076</v>
      </c>
      <c r="J76" s="5">
        <v>193000</v>
      </c>
      <c r="K76" s="5">
        <v>168980</v>
      </c>
      <c r="L76" s="5">
        <v>24020</v>
      </c>
      <c r="M76" s="4">
        <v>0.88</v>
      </c>
      <c r="N76" s="2">
        <v>7</v>
      </c>
      <c r="O76" s="5">
        <v>0</v>
      </c>
      <c r="P76" s="5">
        <v>1584</v>
      </c>
      <c r="Q76" s="3">
        <v>46023</v>
      </c>
      <c r="R76" s="6">
        <f t="shared" si="1"/>
        <v>16898</v>
      </c>
    </row>
    <row r="77" spans="1:18" x14ac:dyDescent="0.25">
      <c r="A77" s="2" t="s">
        <v>16</v>
      </c>
      <c r="B77" s="2" t="s">
        <v>242</v>
      </c>
      <c r="C77" s="2" t="s">
        <v>243</v>
      </c>
      <c r="D77" s="2" t="s">
        <v>244</v>
      </c>
      <c r="E77" s="3">
        <v>45688</v>
      </c>
      <c r="F77" s="3">
        <v>46053</v>
      </c>
      <c r="G77" s="4">
        <v>0.1</v>
      </c>
      <c r="H77" s="10">
        <v>0.1075</v>
      </c>
      <c r="I77" s="10">
        <v>0.10619999999999999</v>
      </c>
      <c r="J77" s="5">
        <v>751000</v>
      </c>
      <c r="K77" s="5">
        <v>751000</v>
      </c>
      <c r="L77" s="5">
        <v>0</v>
      </c>
      <c r="M77" s="4">
        <v>1</v>
      </c>
      <c r="N77" s="2">
        <v>5</v>
      </c>
      <c r="O77" s="5">
        <v>0</v>
      </c>
      <c r="P77" s="5">
        <v>6728</v>
      </c>
      <c r="Q77" s="3">
        <v>46023</v>
      </c>
      <c r="R77" s="6">
        <f t="shared" si="1"/>
        <v>75100</v>
      </c>
    </row>
    <row r="78" spans="1:18" x14ac:dyDescent="0.25">
      <c r="A78" s="2" t="s">
        <v>16</v>
      </c>
      <c r="B78" s="2" t="s">
        <v>245</v>
      </c>
      <c r="C78" s="2" t="s">
        <v>246</v>
      </c>
      <c r="D78" s="2" t="s">
        <v>247</v>
      </c>
      <c r="E78" s="3">
        <v>45688</v>
      </c>
      <c r="F78" s="3">
        <v>46053</v>
      </c>
      <c r="G78" s="4">
        <v>0.1</v>
      </c>
      <c r="H78" s="10">
        <v>0.115</v>
      </c>
      <c r="I78" s="10">
        <v>0.114</v>
      </c>
      <c r="J78" s="5">
        <v>478705</v>
      </c>
      <c r="K78" s="5">
        <v>412051</v>
      </c>
      <c r="L78" s="5">
        <v>66654</v>
      </c>
      <c r="M78" s="4">
        <v>0.86</v>
      </c>
      <c r="N78" s="2">
        <v>6</v>
      </c>
      <c r="O78" s="5">
        <v>0</v>
      </c>
      <c r="P78" s="5">
        <v>3025</v>
      </c>
      <c r="Q78" s="3">
        <v>46023</v>
      </c>
      <c r="R78" s="6">
        <f t="shared" si="1"/>
        <v>41205.100000000006</v>
      </c>
    </row>
    <row r="79" spans="1:18" x14ac:dyDescent="0.25">
      <c r="A79" s="2" t="s">
        <v>16</v>
      </c>
      <c r="B79" s="2" t="s">
        <v>248</v>
      </c>
      <c r="C79" s="2" t="s">
        <v>249</v>
      </c>
      <c r="D79" s="2" t="s">
        <v>250</v>
      </c>
      <c r="E79" s="3">
        <v>45693</v>
      </c>
      <c r="F79" s="3">
        <v>46058</v>
      </c>
      <c r="G79" s="4">
        <v>0.1</v>
      </c>
      <c r="H79" s="10">
        <v>0.1075</v>
      </c>
      <c r="I79" s="10">
        <v>0.10619999999999999</v>
      </c>
      <c r="J79" s="5">
        <v>661500</v>
      </c>
      <c r="K79" s="5">
        <v>661500</v>
      </c>
      <c r="L79" s="5">
        <v>0</v>
      </c>
      <c r="M79" s="4">
        <v>1</v>
      </c>
      <c r="N79" s="2">
        <v>1</v>
      </c>
      <c r="O79" s="5">
        <v>0</v>
      </c>
      <c r="P79" s="5">
        <v>5926</v>
      </c>
      <c r="Q79" s="3">
        <v>46023</v>
      </c>
      <c r="R79" s="6">
        <f t="shared" si="1"/>
        <v>66150</v>
      </c>
    </row>
    <row r="80" spans="1:18" x14ac:dyDescent="0.25">
      <c r="A80" s="2" t="s">
        <v>16</v>
      </c>
      <c r="B80" s="2" t="s">
        <v>251</v>
      </c>
      <c r="C80" s="2" t="s">
        <v>252</v>
      </c>
      <c r="D80" s="2" t="s">
        <v>253</v>
      </c>
      <c r="E80" s="3">
        <v>45706</v>
      </c>
      <c r="F80" s="3">
        <v>46071</v>
      </c>
      <c r="G80" s="4">
        <v>0.15</v>
      </c>
      <c r="H80" s="10">
        <v>0.1075</v>
      </c>
      <c r="I80" s="10">
        <v>0.10619999999999999</v>
      </c>
      <c r="J80" s="5">
        <v>420000</v>
      </c>
      <c r="K80" s="5">
        <v>420000</v>
      </c>
      <c r="L80" s="5">
        <v>0</v>
      </c>
      <c r="M80" s="4">
        <v>1</v>
      </c>
      <c r="N80" s="2">
        <v>1</v>
      </c>
      <c r="O80" s="5">
        <v>0</v>
      </c>
      <c r="P80" s="5">
        <v>3762</v>
      </c>
      <c r="Q80" s="3">
        <v>46023</v>
      </c>
      <c r="R80" s="6">
        <f t="shared" si="1"/>
        <v>63000</v>
      </c>
    </row>
    <row r="81" spans="1:18" x14ac:dyDescent="0.25">
      <c r="A81" s="2" t="s">
        <v>16</v>
      </c>
      <c r="B81" s="2" t="s">
        <v>254</v>
      </c>
      <c r="C81" s="2" t="s">
        <v>255</v>
      </c>
      <c r="D81" s="2" t="s">
        <v>256</v>
      </c>
      <c r="E81" s="3">
        <v>45713</v>
      </c>
      <c r="F81" s="3">
        <v>46078</v>
      </c>
      <c r="G81" s="4">
        <v>0.1</v>
      </c>
      <c r="H81" s="10">
        <v>0.115</v>
      </c>
      <c r="I81" s="10">
        <v>0.114</v>
      </c>
      <c r="J81" s="5">
        <v>1218060</v>
      </c>
      <c r="K81" s="5">
        <v>1179266</v>
      </c>
      <c r="L81" s="5">
        <v>38794</v>
      </c>
      <c r="M81" s="4">
        <v>0.97</v>
      </c>
      <c r="N81" s="2">
        <v>15</v>
      </c>
      <c r="O81" s="5">
        <v>0</v>
      </c>
      <c r="P81" s="5">
        <v>11127</v>
      </c>
      <c r="Q81" s="3">
        <v>46023</v>
      </c>
      <c r="R81" s="6">
        <f t="shared" si="1"/>
        <v>117926.6</v>
      </c>
    </row>
    <row r="82" spans="1:18" x14ac:dyDescent="0.25">
      <c r="A82" s="2" t="s">
        <v>16</v>
      </c>
      <c r="B82" s="2" t="s">
        <v>257</v>
      </c>
      <c r="C82" s="2" t="s">
        <v>258</v>
      </c>
      <c r="D82" s="2" t="s">
        <v>259</v>
      </c>
      <c r="E82" s="3">
        <v>45716</v>
      </c>
      <c r="F82" s="3">
        <v>46081</v>
      </c>
      <c r="G82" s="4">
        <v>0.1</v>
      </c>
      <c r="H82" s="10">
        <v>0.1075</v>
      </c>
      <c r="I82" s="10">
        <v>0.10619999999999999</v>
      </c>
      <c r="J82" s="5">
        <v>397500</v>
      </c>
      <c r="K82" s="5">
        <v>379375</v>
      </c>
      <c r="L82" s="5">
        <v>18125</v>
      </c>
      <c r="M82" s="4">
        <v>0.95</v>
      </c>
      <c r="N82" s="2">
        <v>2</v>
      </c>
      <c r="O82" s="5">
        <v>0</v>
      </c>
      <c r="P82" s="5">
        <v>3275</v>
      </c>
      <c r="Q82" s="3">
        <v>46023</v>
      </c>
      <c r="R82" s="6">
        <f t="shared" si="1"/>
        <v>37937.5</v>
      </c>
    </row>
    <row r="83" spans="1:18" x14ac:dyDescent="0.25">
      <c r="A83" s="2" t="s">
        <v>16</v>
      </c>
      <c r="B83" s="2" t="s">
        <v>260</v>
      </c>
      <c r="C83" s="2" t="s">
        <v>261</v>
      </c>
      <c r="D83" s="2" t="s">
        <v>262</v>
      </c>
      <c r="E83" s="3">
        <v>45723</v>
      </c>
      <c r="F83" s="3">
        <v>46088</v>
      </c>
      <c r="G83" s="4">
        <v>0.1</v>
      </c>
      <c r="H83" s="10">
        <v>0.105</v>
      </c>
      <c r="I83" s="10">
        <v>0.10400000000000001</v>
      </c>
      <c r="J83" s="5">
        <v>895500</v>
      </c>
      <c r="K83" s="5">
        <v>895500</v>
      </c>
      <c r="L83" s="5">
        <v>0</v>
      </c>
      <c r="M83" s="4">
        <v>1</v>
      </c>
      <c r="N83" s="2">
        <v>1</v>
      </c>
      <c r="O83" s="5">
        <v>0</v>
      </c>
      <c r="P83" s="5">
        <v>7836</v>
      </c>
      <c r="Q83" s="3">
        <v>46023</v>
      </c>
      <c r="R83" s="6">
        <f t="shared" si="1"/>
        <v>89550</v>
      </c>
    </row>
    <row r="84" spans="1:18" x14ac:dyDescent="0.25">
      <c r="A84" s="2" t="s">
        <v>16</v>
      </c>
      <c r="B84" s="2" t="s">
        <v>263</v>
      </c>
      <c r="C84" s="2" t="s">
        <v>264</v>
      </c>
      <c r="D84" s="2" t="s">
        <v>265</v>
      </c>
      <c r="E84" s="3">
        <v>45729</v>
      </c>
      <c r="F84" s="3">
        <v>46094</v>
      </c>
      <c r="G84" s="4">
        <v>0.15</v>
      </c>
      <c r="H84" s="10">
        <v>0.1075</v>
      </c>
      <c r="I84" s="10">
        <v>0.10619999999999999</v>
      </c>
      <c r="J84" s="5">
        <v>1032500</v>
      </c>
      <c r="K84" s="5">
        <v>979489</v>
      </c>
      <c r="L84" s="5">
        <v>53011</v>
      </c>
      <c r="M84" s="4">
        <v>0.95</v>
      </c>
      <c r="N84" s="2">
        <v>11</v>
      </c>
      <c r="O84" s="5">
        <v>0</v>
      </c>
      <c r="P84" s="5">
        <v>8656</v>
      </c>
      <c r="Q84" s="3">
        <v>46023</v>
      </c>
      <c r="R84" s="6">
        <f t="shared" si="1"/>
        <v>146923.35</v>
      </c>
    </row>
    <row r="85" spans="1:18" x14ac:dyDescent="0.25">
      <c r="A85" s="2" t="s">
        <v>16</v>
      </c>
      <c r="B85" s="2" t="s">
        <v>266</v>
      </c>
      <c r="C85" s="2" t="s">
        <v>267</v>
      </c>
      <c r="D85" s="2" t="s">
        <v>268</v>
      </c>
      <c r="E85" s="3">
        <v>45730</v>
      </c>
      <c r="F85" s="3">
        <v>46095</v>
      </c>
      <c r="G85" s="4">
        <v>0.2</v>
      </c>
      <c r="H85" s="10">
        <v>0.1125</v>
      </c>
      <c r="I85" s="10">
        <v>0.1076</v>
      </c>
      <c r="J85" s="5">
        <v>574000</v>
      </c>
      <c r="K85" s="5">
        <v>574000</v>
      </c>
      <c r="L85" s="5">
        <v>0</v>
      </c>
      <c r="M85" s="4">
        <v>1</v>
      </c>
      <c r="N85" s="2">
        <v>6</v>
      </c>
      <c r="O85" s="5">
        <v>0</v>
      </c>
      <c r="P85" s="5">
        <v>5381</v>
      </c>
      <c r="Q85" s="3">
        <v>46023</v>
      </c>
      <c r="R85" s="6">
        <f t="shared" si="1"/>
        <v>114800</v>
      </c>
    </row>
    <row r="86" spans="1:18" x14ac:dyDescent="0.25">
      <c r="A86" s="2" t="s">
        <v>16</v>
      </c>
      <c r="B86" s="2" t="s">
        <v>269</v>
      </c>
      <c r="C86" s="2" t="s">
        <v>270</v>
      </c>
      <c r="D86" s="2" t="s">
        <v>271</v>
      </c>
      <c r="E86" s="3">
        <v>45730</v>
      </c>
      <c r="F86" s="3">
        <v>46095</v>
      </c>
      <c r="G86" s="4">
        <v>0.1</v>
      </c>
      <c r="H86" s="10">
        <v>0.1075</v>
      </c>
      <c r="I86" s="10">
        <v>0.10619999999999999</v>
      </c>
      <c r="J86" s="5">
        <v>509600</v>
      </c>
      <c r="K86" s="5">
        <v>472753</v>
      </c>
      <c r="L86" s="5">
        <v>36847</v>
      </c>
      <c r="M86" s="4">
        <v>0.93</v>
      </c>
      <c r="N86" s="2">
        <v>2</v>
      </c>
      <c r="O86" s="5">
        <v>0</v>
      </c>
      <c r="P86" s="5">
        <v>4235</v>
      </c>
      <c r="Q86" s="3">
        <v>46023</v>
      </c>
      <c r="R86" s="6">
        <f t="shared" si="1"/>
        <v>47275.3</v>
      </c>
    </row>
    <row r="87" spans="1:18" x14ac:dyDescent="0.25">
      <c r="A87" s="2" t="s">
        <v>16</v>
      </c>
      <c r="B87" s="2" t="s">
        <v>272</v>
      </c>
      <c r="C87" s="2" t="s">
        <v>273</v>
      </c>
      <c r="D87" s="2" t="s">
        <v>274</v>
      </c>
      <c r="E87" s="3">
        <v>45733</v>
      </c>
      <c r="F87" s="3">
        <v>46098</v>
      </c>
      <c r="G87" s="4">
        <v>0.05</v>
      </c>
      <c r="H87" s="10">
        <v>0.115</v>
      </c>
      <c r="I87" s="10">
        <v>0.114</v>
      </c>
      <c r="J87" s="5">
        <v>3339950</v>
      </c>
      <c r="K87" s="5">
        <v>1930750</v>
      </c>
      <c r="L87" s="5">
        <v>1409200</v>
      </c>
      <c r="M87" s="4">
        <v>0.57999999999999996</v>
      </c>
      <c r="N87" s="2">
        <v>5</v>
      </c>
      <c r="O87" s="5">
        <v>45</v>
      </c>
      <c r="P87" s="5">
        <v>15508</v>
      </c>
      <c r="Q87" s="3">
        <v>46023</v>
      </c>
      <c r="R87" s="6">
        <f t="shared" si="1"/>
        <v>96537.5</v>
      </c>
    </row>
    <row r="88" spans="1:18" x14ac:dyDescent="0.25">
      <c r="A88" s="2" t="s">
        <v>16</v>
      </c>
      <c r="B88" s="2" t="s">
        <v>275</v>
      </c>
      <c r="C88" s="2" t="s">
        <v>276</v>
      </c>
      <c r="D88" s="2" t="s">
        <v>277</v>
      </c>
      <c r="E88" s="3">
        <v>45734</v>
      </c>
      <c r="F88" s="3">
        <v>46099</v>
      </c>
      <c r="G88" s="4">
        <v>0.1</v>
      </c>
      <c r="H88" s="10">
        <v>0.105</v>
      </c>
      <c r="I88" s="10">
        <v>0.10400000000000001</v>
      </c>
      <c r="J88" s="5">
        <v>189000</v>
      </c>
      <c r="K88" s="5">
        <v>189000</v>
      </c>
      <c r="L88" s="5">
        <v>0</v>
      </c>
      <c r="M88" s="4">
        <v>1</v>
      </c>
      <c r="N88" s="2">
        <v>1</v>
      </c>
      <c r="O88" s="5">
        <v>0</v>
      </c>
      <c r="P88" s="5">
        <v>1654</v>
      </c>
      <c r="Q88" s="3">
        <v>46023</v>
      </c>
      <c r="R88" s="6">
        <f t="shared" si="1"/>
        <v>18900</v>
      </c>
    </row>
    <row r="89" spans="1:18" x14ac:dyDescent="0.25">
      <c r="A89" s="2" t="s">
        <v>16</v>
      </c>
      <c r="B89" s="2" t="s">
        <v>278</v>
      </c>
      <c r="C89" s="2" t="s">
        <v>279</v>
      </c>
      <c r="D89" s="2" t="s">
        <v>280</v>
      </c>
      <c r="E89" s="3">
        <v>45737</v>
      </c>
      <c r="F89" s="3">
        <v>46102</v>
      </c>
      <c r="G89" s="4">
        <v>0.1</v>
      </c>
      <c r="H89" s="10">
        <v>0.1075</v>
      </c>
      <c r="I89" s="10">
        <v>0.10619999999999999</v>
      </c>
      <c r="J89" s="5">
        <v>751500</v>
      </c>
      <c r="K89" s="5">
        <v>747300</v>
      </c>
      <c r="L89" s="5">
        <v>4200</v>
      </c>
      <c r="M89" s="4">
        <v>0.99</v>
      </c>
      <c r="N89" s="2">
        <v>3</v>
      </c>
      <c r="O89" s="5">
        <v>0</v>
      </c>
      <c r="P89" s="5">
        <v>6695</v>
      </c>
      <c r="Q89" s="3">
        <v>46023</v>
      </c>
      <c r="R89" s="6">
        <f t="shared" si="1"/>
        <v>74730</v>
      </c>
    </row>
    <row r="90" spans="1:18" x14ac:dyDescent="0.25">
      <c r="A90" s="2" t="s">
        <v>16</v>
      </c>
      <c r="B90" s="2" t="s">
        <v>281</v>
      </c>
      <c r="C90" s="2" t="s">
        <v>282</v>
      </c>
      <c r="D90" s="2" t="s">
        <v>283</v>
      </c>
      <c r="E90" s="3">
        <v>45741</v>
      </c>
      <c r="F90" s="3">
        <v>46106</v>
      </c>
      <c r="G90" s="4">
        <v>0.1</v>
      </c>
      <c r="H90" s="10">
        <v>0.1075</v>
      </c>
      <c r="I90" s="10">
        <v>0.10619999999999999</v>
      </c>
      <c r="J90" s="5">
        <v>461000</v>
      </c>
      <c r="K90" s="5">
        <v>369850</v>
      </c>
      <c r="L90" s="5">
        <v>91150</v>
      </c>
      <c r="M90" s="4">
        <v>0.8</v>
      </c>
      <c r="N90" s="2">
        <v>4</v>
      </c>
      <c r="O90" s="5">
        <v>3313</v>
      </c>
      <c r="P90" s="5">
        <v>3313</v>
      </c>
      <c r="Q90" s="3">
        <v>45992</v>
      </c>
      <c r="R90" s="6">
        <f t="shared" si="1"/>
        <v>36985</v>
      </c>
    </row>
    <row r="91" spans="1:18" x14ac:dyDescent="0.25">
      <c r="A91" s="2" t="s">
        <v>16</v>
      </c>
      <c r="B91" s="2" t="s">
        <v>284</v>
      </c>
      <c r="C91" s="2" t="s">
        <v>285</v>
      </c>
      <c r="D91" s="2" t="s">
        <v>286</v>
      </c>
      <c r="E91" s="3">
        <v>45742</v>
      </c>
      <c r="F91" s="3">
        <v>46107</v>
      </c>
      <c r="G91" s="4">
        <v>0.1</v>
      </c>
      <c r="H91" s="10">
        <v>0.1075</v>
      </c>
      <c r="I91" s="10">
        <v>0.10619999999999999</v>
      </c>
      <c r="J91" s="5">
        <v>171000</v>
      </c>
      <c r="K91" s="5">
        <v>96400</v>
      </c>
      <c r="L91" s="5">
        <v>74600</v>
      </c>
      <c r="M91" s="4">
        <v>0.56000000000000005</v>
      </c>
      <c r="N91" s="2">
        <v>1</v>
      </c>
      <c r="O91" s="5">
        <v>0</v>
      </c>
      <c r="P91" s="5">
        <v>864</v>
      </c>
      <c r="Q91" s="3">
        <v>46023</v>
      </c>
      <c r="R91" s="6">
        <f t="shared" si="1"/>
        <v>9640</v>
      </c>
    </row>
    <row r="92" spans="1:18" x14ac:dyDescent="0.25">
      <c r="A92" s="2" t="s">
        <v>16</v>
      </c>
      <c r="B92" s="2" t="s">
        <v>287</v>
      </c>
      <c r="C92" s="2" t="s">
        <v>288</v>
      </c>
      <c r="D92" s="2" t="s">
        <v>289</v>
      </c>
      <c r="E92" s="3">
        <v>45742</v>
      </c>
      <c r="F92" s="3">
        <v>46107</v>
      </c>
      <c r="G92" s="4">
        <v>0.1</v>
      </c>
      <c r="H92" s="10">
        <v>0.1075</v>
      </c>
      <c r="I92" s="10">
        <v>0.10619999999999999</v>
      </c>
      <c r="J92" s="5">
        <v>655800</v>
      </c>
      <c r="K92" s="5">
        <v>551604</v>
      </c>
      <c r="L92" s="5">
        <v>104196</v>
      </c>
      <c r="M92" s="4">
        <v>0.84</v>
      </c>
      <c r="N92" s="2">
        <v>3</v>
      </c>
      <c r="O92" s="5">
        <v>0</v>
      </c>
      <c r="P92" s="5">
        <v>4941</v>
      </c>
      <c r="Q92" s="3">
        <v>46023</v>
      </c>
      <c r="R92" s="6">
        <f t="shared" si="1"/>
        <v>55160.4</v>
      </c>
    </row>
    <row r="93" spans="1:18" x14ac:dyDescent="0.25">
      <c r="A93" s="2" t="s">
        <v>16</v>
      </c>
      <c r="B93" s="2" t="s">
        <v>290</v>
      </c>
      <c r="C93" s="2" t="s">
        <v>291</v>
      </c>
      <c r="D93" s="2" t="s">
        <v>292</v>
      </c>
      <c r="E93" s="3">
        <v>45743</v>
      </c>
      <c r="F93" s="3">
        <v>46108</v>
      </c>
      <c r="G93" s="4">
        <v>0.2</v>
      </c>
      <c r="H93" s="10">
        <v>0.105</v>
      </c>
      <c r="I93" s="10">
        <v>0.104</v>
      </c>
      <c r="J93" s="5">
        <v>405000</v>
      </c>
      <c r="K93" s="5">
        <v>405000</v>
      </c>
      <c r="L93" s="5">
        <v>0</v>
      </c>
      <c r="M93" s="4">
        <v>1</v>
      </c>
      <c r="N93" s="2">
        <v>1</v>
      </c>
      <c r="O93" s="5">
        <v>0</v>
      </c>
      <c r="P93" s="5">
        <v>3544</v>
      </c>
      <c r="Q93" s="3">
        <v>46023</v>
      </c>
      <c r="R93" s="6">
        <f t="shared" si="1"/>
        <v>81000</v>
      </c>
    </row>
    <row r="94" spans="1:18" x14ac:dyDescent="0.25">
      <c r="A94" s="2" t="s">
        <v>16</v>
      </c>
      <c r="B94" s="2" t="s">
        <v>293</v>
      </c>
      <c r="C94" s="2" t="s">
        <v>294</v>
      </c>
      <c r="D94" s="2" t="s">
        <v>295</v>
      </c>
      <c r="E94" s="3">
        <v>45743</v>
      </c>
      <c r="F94" s="3">
        <v>46108</v>
      </c>
      <c r="G94" s="4">
        <v>0.1</v>
      </c>
      <c r="H94" s="10">
        <v>0.1075</v>
      </c>
      <c r="I94" s="10">
        <v>0.1062</v>
      </c>
      <c r="J94" s="5">
        <v>319900</v>
      </c>
      <c r="K94" s="5">
        <v>301500</v>
      </c>
      <c r="L94" s="5">
        <v>18400</v>
      </c>
      <c r="M94" s="4">
        <v>0.94</v>
      </c>
      <c r="N94" s="2">
        <v>1</v>
      </c>
      <c r="O94" s="5">
        <v>0</v>
      </c>
      <c r="P94" s="5">
        <v>2701</v>
      </c>
      <c r="Q94" s="3">
        <v>46023</v>
      </c>
      <c r="R94" s="6">
        <f t="shared" si="1"/>
        <v>30150</v>
      </c>
    </row>
    <row r="95" spans="1:18" x14ac:dyDescent="0.25">
      <c r="A95" s="2" t="s">
        <v>16</v>
      </c>
      <c r="B95" s="2" t="s">
        <v>296</v>
      </c>
      <c r="C95" s="2" t="s">
        <v>297</v>
      </c>
      <c r="D95" s="2" t="s">
        <v>298</v>
      </c>
      <c r="E95" s="3">
        <v>45744</v>
      </c>
      <c r="F95" s="3">
        <v>46109</v>
      </c>
      <c r="G95" s="4">
        <v>0.15</v>
      </c>
      <c r="H95" s="10">
        <v>0.105</v>
      </c>
      <c r="I95" s="10">
        <v>0.104</v>
      </c>
      <c r="J95" s="5">
        <v>975250</v>
      </c>
      <c r="K95" s="5">
        <v>790810</v>
      </c>
      <c r="L95" s="5">
        <v>184440</v>
      </c>
      <c r="M95" s="4">
        <v>0.81</v>
      </c>
      <c r="N95" s="2">
        <v>5</v>
      </c>
      <c r="O95" s="5">
        <v>0</v>
      </c>
      <c r="P95" s="5">
        <v>6556</v>
      </c>
      <c r="Q95" s="3">
        <v>46023</v>
      </c>
      <c r="R95" s="6">
        <f t="shared" si="1"/>
        <v>118621.5</v>
      </c>
    </row>
    <row r="96" spans="1:18" x14ac:dyDescent="0.25">
      <c r="A96" s="2" t="s">
        <v>16</v>
      </c>
      <c r="B96" s="2" t="s">
        <v>299</v>
      </c>
      <c r="C96" s="2" t="s">
        <v>300</v>
      </c>
      <c r="D96" s="2" t="s">
        <v>301</v>
      </c>
      <c r="E96" s="3">
        <v>45744</v>
      </c>
      <c r="F96" s="3">
        <v>46109</v>
      </c>
      <c r="G96" s="4">
        <v>0.1</v>
      </c>
      <c r="H96" s="10">
        <v>0.1075</v>
      </c>
      <c r="I96" s="10">
        <v>0.1062</v>
      </c>
      <c r="J96" s="5">
        <v>145000</v>
      </c>
      <c r="K96" s="5">
        <v>137102</v>
      </c>
      <c r="L96" s="5">
        <v>7898</v>
      </c>
      <c r="M96" s="4">
        <v>0.95</v>
      </c>
      <c r="N96" s="2">
        <v>6</v>
      </c>
      <c r="O96" s="5">
        <v>0</v>
      </c>
      <c r="P96" s="5">
        <v>1228</v>
      </c>
      <c r="Q96" s="3">
        <v>46023</v>
      </c>
      <c r="R96" s="6">
        <f t="shared" si="1"/>
        <v>13710.2</v>
      </c>
    </row>
    <row r="97" spans="1:18" x14ac:dyDescent="0.25">
      <c r="A97" s="2" t="s">
        <v>16</v>
      </c>
      <c r="B97" s="2" t="s">
        <v>302</v>
      </c>
      <c r="C97" s="2" t="s">
        <v>303</v>
      </c>
      <c r="D97" s="2" t="s">
        <v>304</v>
      </c>
      <c r="E97" s="3">
        <v>45748</v>
      </c>
      <c r="F97" s="3">
        <v>46113</v>
      </c>
      <c r="G97" s="4">
        <v>0.1</v>
      </c>
      <c r="H97" s="10">
        <v>0.1075</v>
      </c>
      <c r="I97" s="10">
        <v>0.1062</v>
      </c>
      <c r="J97" s="5">
        <v>507150</v>
      </c>
      <c r="K97" s="5">
        <v>455518</v>
      </c>
      <c r="L97" s="5">
        <v>51632</v>
      </c>
      <c r="M97" s="4">
        <v>0.9</v>
      </c>
      <c r="N97" s="2">
        <v>4</v>
      </c>
      <c r="O97" s="5">
        <v>0</v>
      </c>
      <c r="P97" s="5">
        <v>4081</v>
      </c>
      <c r="Q97" s="3">
        <v>46023</v>
      </c>
      <c r="R97" s="6">
        <f t="shared" si="1"/>
        <v>45551.8</v>
      </c>
    </row>
    <row r="98" spans="1:18" x14ac:dyDescent="0.25">
      <c r="A98" s="2" t="s">
        <v>16</v>
      </c>
      <c r="B98" s="2" t="s">
        <v>305</v>
      </c>
      <c r="C98" s="2" t="s">
        <v>306</v>
      </c>
      <c r="D98" s="2" t="s">
        <v>307</v>
      </c>
      <c r="E98" s="3">
        <v>45748</v>
      </c>
      <c r="F98" s="3">
        <v>46113</v>
      </c>
      <c r="G98" s="4">
        <v>0.1</v>
      </c>
      <c r="H98" s="10">
        <v>0.1075</v>
      </c>
      <c r="I98" s="10">
        <v>0.1062</v>
      </c>
      <c r="J98" s="5">
        <v>676500</v>
      </c>
      <c r="K98" s="5">
        <v>530750</v>
      </c>
      <c r="L98" s="5">
        <v>145750</v>
      </c>
      <c r="M98" s="4">
        <v>0.78</v>
      </c>
      <c r="N98" s="2">
        <v>3</v>
      </c>
      <c r="O98" s="5">
        <v>4755</v>
      </c>
      <c r="P98" s="5">
        <v>4755</v>
      </c>
      <c r="Q98" s="3">
        <v>45992</v>
      </c>
      <c r="R98" s="6">
        <f t="shared" ref="R98:R129" si="2">G98*K98</f>
        <v>53075</v>
      </c>
    </row>
    <row r="99" spans="1:18" x14ac:dyDescent="0.25">
      <c r="A99" s="2" t="s">
        <v>16</v>
      </c>
      <c r="B99" s="2" t="s">
        <v>308</v>
      </c>
      <c r="C99" s="2" t="s">
        <v>309</v>
      </c>
      <c r="D99" s="2" t="s">
        <v>310</v>
      </c>
      <c r="E99" s="3">
        <v>45748</v>
      </c>
      <c r="F99" s="3">
        <v>46113</v>
      </c>
      <c r="G99" s="4">
        <v>0.1</v>
      </c>
      <c r="H99" s="10">
        <v>0.1075</v>
      </c>
      <c r="I99" s="10">
        <v>0.1062</v>
      </c>
      <c r="J99" s="5">
        <v>421000</v>
      </c>
      <c r="K99" s="5">
        <v>363450</v>
      </c>
      <c r="L99" s="5">
        <v>57550</v>
      </c>
      <c r="M99" s="4">
        <v>0.86</v>
      </c>
      <c r="N99" s="2">
        <v>4</v>
      </c>
      <c r="O99" s="5">
        <v>3256</v>
      </c>
      <c r="P99" s="5">
        <v>3256</v>
      </c>
      <c r="Q99" s="3">
        <v>45992</v>
      </c>
      <c r="R99" s="6">
        <f t="shared" si="2"/>
        <v>36345</v>
      </c>
    </row>
    <row r="100" spans="1:18" x14ac:dyDescent="0.25">
      <c r="A100" s="2" t="s">
        <v>16</v>
      </c>
      <c r="B100" s="2" t="s">
        <v>311</v>
      </c>
      <c r="C100" s="2" t="s">
        <v>312</v>
      </c>
      <c r="D100" s="2" t="s">
        <v>313</v>
      </c>
      <c r="E100" s="3">
        <v>45749</v>
      </c>
      <c r="F100" s="3">
        <v>46297</v>
      </c>
      <c r="G100" s="4">
        <v>0.25</v>
      </c>
      <c r="H100" s="10">
        <v>0.115</v>
      </c>
      <c r="I100" s="10">
        <v>0.114</v>
      </c>
      <c r="J100" s="5">
        <v>2798397</v>
      </c>
      <c r="K100" s="5">
        <v>2306802</v>
      </c>
      <c r="L100" s="5">
        <v>491595</v>
      </c>
      <c r="M100" s="4">
        <v>0.82</v>
      </c>
      <c r="N100" s="2">
        <v>5</v>
      </c>
      <c r="O100" s="5">
        <v>0</v>
      </c>
      <c r="P100" s="5">
        <v>21092</v>
      </c>
      <c r="Q100" s="3">
        <v>46023</v>
      </c>
      <c r="R100" s="6">
        <f t="shared" si="2"/>
        <v>576700.5</v>
      </c>
    </row>
    <row r="101" spans="1:18" x14ac:dyDescent="0.25">
      <c r="A101" s="2" t="s">
        <v>16</v>
      </c>
      <c r="B101" s="2" t="s">
        <v>314</v>
      </c>
      <c r="C101" s="2" t="s">
        <v>315</v>
      </c>
      <c r="D101" s="2" t="s">
        <v>316</v>
      </c>
      <c r="E101" s="3">
        <v>45758</v>
      </c>
      <c r="F101" s="3">
        <v>46123</v>
      </c>
      <c r="G101" s="4">
        <v>0.1</v>
      </c>
      <c r="H101" s="10">
        <v>0.1075</v>
      </c>
      <c r="I101" s="10">
        <v>0.1062</v>
      </c>
      <c r="J101" s="5">
        <v>721727</v>
      </c>
      <c r="K101" s="5">
        <v>694812</v>
      </c>
      <c r="L101" s="5">
        <v>26915</v>
      </c>
      <c r="M101" s="4">
        <v>0.96</v>
      </c>
      <c r="N101" s="2">
        <v>8</v>
      </c>
      <c r="O101" s="5">
        <v>0</v>
      </c>
      <c r="P101" s="5">
        <v>6224</v>
      </c>
      <c r="Q101" s="3">
        <v>46023</v>
      </c>
      <c r="R101" s="6">
        <f t="shared" si="2"/>
        <v>69481.2</v>
      </c>
    </row>
    <row r="102" spans="1:18" x14ac:dyDescent="0.25">
      <c r="A102" s="2" t="s">
        <v>16</v>
      </c>
      <c r="B102" s="2" t="s">
        <v>317</v>
      </c>
      <c r="C102" s="2" t="s">
        <v>318</v>
      </c>
      <c r="D102" s="2" t="s">
        <v>319</v>
      </c>
      <c r="E102" s="3">
        <v>45758</v>
      </c>
      <c r="F102" s="3">
        <v>46123</v>
      </c>
      <c r="G102" s="4">
        <v>0.1</v>
      </c>
      <c r="H102" s="10">
        <v>0.105</v>
      </c>
      <c r="I102" s="10">
        <v>0.104</v>
      </c>
      <c r="J102" s="5">
        <v>576000</v>
      </c>
      <c r="K102" s="5">
        <v>576000</v>
      </c>
      <c r="L102" s="5">
        <v>0</v>
      </c>
      <c r="M102" s="4">
        <v>1</v>
      </c>
      <c r="N102" s="2">
        <v>1</v>
      </c>
      <c r="O102" s="5">
        <v>10317</v>
      </c>
      <c r="P102" s="5">
        <v>5208</v>
      </c>
      <c r="Q102" s="3">
        <v>45962</v>
      </c>
      <c r="R102" s="6">
        <f t="shared" si="2"/>
        <v>57600</v>
      </c>
    </row>
    <row r="103" spans="1:18" x14ac:dyDescent="0.25">
      <c r="A103" s="2" t="s">
        <v>16</v>
      </c>
      <c r="B103" s="2" t="s">
        <v>320</v>
      </c>
      <c r="C103" s="2" t="s">
        <v>321</v>
      </c>
      <c r="D103" s="2" t="s">
        <v>322</v>
      </c>
      <c r="E103" s="3">
        <v>45761</v>
      </c>
      <c r="F103" s="3">
        <v>46126</v>
      </c>
      <c r="G103" s="4">
        <v>0.1</v>
      </c>
      <c r="H103" s="10">
        <v>0.1075</v>
      </c>
      <c r="I103" s="10">
        <v>0.1062</v>
      </c>
      <c r="J103" s="5">
        <v>93500</v>
      </c>
      <c r="K103" s="5">
        <v>93500</v>
      </c>
      <c r="L103" s="5">
        <v>0</v>
      </c>
      <c r="M103" s="4">
        <v>1</v>
      </c>
      <c r="N103" s="2">
        <v>1</v>
      </c>
      <c r="O103" s="5">
        <v>0</v>
      </c>
      <c r="P103" s="5">
        <v>838</v>
      </c>
      <c r="Q103" s="3">
        <v>46023</v>
      </c>
      <c r="R103" s="6">
        <f t="shared" si="2"/>
        <v>9350</v>
      </c>
    </row>
    <row r="104" spans="1:18" x14ac:dyDescent="0.25">
      <c r="A104" s="2" t="s">
        <v>16</v>
      </c>
      <c r="B104" s="2" t="s">
        <v>323</v>
      </c>
      <c r="C104" s="2" t="s">
        <v>324</v>
      </c>
      <c r="D104" s="2" t="s">
        <v>325</v>
      </c>
      <c r="E104" s="3">
        <v>45771</v>
      </c>
      <c r="F104" s="3">
        <v>46136</v>
      </c>
      <c r="G104" s="4">
        <v>0.05</v>
      </c>
      <c r="H104" s="10">
        <v>0.1075</v>
      </c>
      <c r="I104" s="10">
        <v>0.1062</v>
      </c>
      <c r="J104" s="5">
        <v>1359450</v>
      </c>
      <c r="K104" s="5">
        <v>738948</v>
      </c>
      <c r="L104" s="5">
        <v>620502</v>
      </c>
      <c r="M104" s="4">
        <v>0.54</v>
      </c>
      <c r="N104" s="2">
        <v>3</v>
      </c>
      <c r="O104" s="5">
        <v>0</v>
      </c>
      <c r="P104" s="5">
        <v>6620</v>
      </c>
      <c r="Q104" s="3">
        <v>46023</v>
      </c>
      <c r="R104" s="6">
        <f t="shared" si="2"/>
        <v>36947.4</v>
      </c>
    </row>
    <row r="105" spans="1:18" x14ac:dyDescent="0.25">
      <c r="A105" s="2" t="s">
        <v>16</v>
      </c>
      <c r="B105" s="2" t="s">
        <v>326</v>
      </c>
      <c r="C105" s="2" t="s">
        <v>327</v>
      </c>
      <c r="D105" s="2" t="s">
        <v>328</v>
      </c>
      <c r="E105" s="3">
        <v>45776</v>
      </c>
      <c r="F105" s="3">
        <v>46141</v>
      </c>
      <c r="G105" s="4">
        <v>0.2</v>
      </c>
      <c r="H105" s="10">
        <v>0.105</v>
      </c>
      <c r="I105" s="10">
        <v>0.105</v>
      </c>
      <c r="J105" s="5">
        <v>607500</v>
      </c>
      <c r="K105" s="5">
        <v>607500</v>
      </c>
      <c r="L105" s="5">
        <v>0</v>
      </c>
      <c r="M105" s="4">
        <v>1</v>
      </c>
      <c r="N105" s="2">
        <v>1</v>
      </c>
      <c r="O105" s="5">
        <v>5316</v>
      </c>
      <c r="P105" s="5">
        <v>5316</v>
      </c>
      <c r="Q105" s="3">
        <v>45992</v>
      </c>
      <c r="R105" s="6">
        <f t="shared" si="2"/>
        <v>121500</v>
      </c>
    </row>
    <row r="106" spans="1:18" x14ac:dyDescent="0.25">
      <c r="A106" s="2" t="s">
        <v>16</v>
      </c>
      <c r="B106" s="2" t="s">
        <v>329</v>
      </c>
      <c r="C106" s="2" t="s">
        <v>330</v>
      </c>
      <c r="D106" s="2" t="s">
        <v>331</v>
      </c>
      <c r="E106" s="3">
        <v>45776</v>
      </c>
      <c r="F106" s="3">
        <v>46141</v>
      </c>
      <c r="G106" s="4">
        <v>0.1</v>
      </c>
      <c r="H106" s="10">
        <v>0.1075</v>
      </c>
      <c r="I106" s="10">
        <v>0.1062</v>
      </c>
      <c r="J106" s="5">
        <v>647500</v>
      </c>
      <c r="K106" s="5">
        <v>603855</v>
      </c>
      <c r="L106" s="5">
        <v>43645</v>
      </c>
      <c r="M106" s="4">
        <v>0.93</v>
      </c>
      <c r="N106" s="2">
        <v>1</v>
      </c>
      <c r="O106" s="5">
        <v>0</v>
      </c>
      <c r="P106" s="5">
        <v>5410</v>
      </c>
      <c r="Q106" s="3">
        <v>46023</v>
      </c>
      <c r="R106" s="6">
        <f t="shared" si="2"/>
        <v>60385.5</v>
      </c>
    </row>
    <row r="107" spans="1:18" x14ac:dyDescent="0.25">
      <c r="A107" s="2" t="s">
        <v>16</v>
      </c>
      <c r="B107" s="2" t="s">
        <v>332</v>
      </c>
      <c r="C107" s="2" t="s">
        <v>333</v>
      </c>
      <c r="D107" s="2" t="s">
        <v>334</v>
      </c>
      <c r="E107" s="3">
        <v>45785</v>
      </c>
      <c r="F107" s="3">
        <v>46334</v>
      </c>
      <c r="G107" s="4">
        <v>0.2</v>
      </c>
      <c r="H107" s="10">
        <v>0.1125</v>
      </c>
      <c r="I107" s="10">
        <v>0.11219999999999999</v>
      </c>
      <c r="J107" s="5">
        <v>1735000</v>
      </c>
      <c r="K107" s="5">
        <v>572608</v>
      </c>
      <c r="L107" s="5">
        <v>1162392</v>
      </c>
      <c r="M107" s="4">
        <v>0.33</v>
      </c>
      <c r="N107" s="2">
        <v>3</v>
      </c>
      <c r="O107" s="5">
        <v>0</v>
      </c>
      <c r="P107" s="5">
        <v>3927</v>
      </c>
      <c r="Q107" s="3">
        <v>46023</v>
      </c>
      <c r="R107" s="6">
        <f t="shared" si="2"/>
        <v>114521.60000000001</v>
      </c>
    </row>
    <row r="108" spans="1:18" x14ac:dyDescent="0.25">
      <c r="A108" s="2" t="s">
        <v>16</v>
      </c>
      <c r="B108" s="2" t="s">
        <v>335</v>
      </c>
      <c r="C108" s="2" t="s">
        <v>336</v>
      </c>
      <c r="D108" s="2" t="s">
        <v>337</v>
      </c>
      <c r="E108" s="3">
        <v>45790</v>
      </c>
      <c r="F108" s="3">
        <v>46155</v>
      </c>
      <c r="G108" s="4">
        <v>0.1</v>
      </c>
      <c r="H108" s="10">
        <v>0.1075</v>
      </c>
      <c r="I108" s="10">
        <v>0.1062</v>
      </c>
      <c r="J108" s="5">
        <v>236050</v>
      </c>
      <c r="K108" s="5">
        <v>165950</v>
      </c>
      <c r="L108" s="5">
        <v>70100</v>
      </c>
      <c r="M108" s="4">
        <v>0.7</v>
      </c>
      <c r="N108" s="2">
        <v>2</v>
      </c>
      <c r="O108" s="5">
        <v>0</v>
      </c>
      <c r="P108" s="5">
        <v>1487</v>
      </c>
      <c r="Q108" s="3">
        <v>46023</v>
      </c>
      <c r="R108" s="6">
        <f t="shared" si="2"/>
        <v>16595</v>
      </c>
    </row>
    <row r="109" spans="1:18" x14ac:dyDescent="0.25">
      <c r="A109" s="2" t="s">
        <v>16</v>
      </c>
      <c r="B109" s="2" t="s">
        <v>338</v>
      </c>
      <c r="C109" s="2" t="s">
        <v>339</v>
      </c>
      <c r="D109" s="2" t="s">
        <v>340</v>
      </c>
      <c r="E109" s="3">
        <v>45796</v>
      </c>
      <c r="F109" s="3">
        <v>46161</v>
      </c>
      <c r="G109" s="4">
        <v>0.1</v>
      </c>
      <c r="H109" s="10">
        <v>0.1075</v>
      </c>
      <c r="I109" s="10">
        <v>0.1062</v>
      </c>
      <c r="J109" s="5">
        <v>499350</v>
      </c>
      <c r="K109" s="5">
        <v>457410</v>
      </c>
      <c r="L109" s="5">
        <v>41940</v>
      </c>
      <c r="M109" s="4">
        <v>0.92</v>
      </c>
      <c r="N109" s="2">
        <v>3</v>
      </c>
      <c r="O109" s="5">
        <v>0</v>
      </c>
      <c r="P109" s="5">
        <v>4098</v>
      </c>
      <c r="Q109" s="3">
        <v>46023</v>
      </c>
      <c r="R109" s="6">
        <f t="shared" si="2"/>
        <v>45741</v>
      </c>
    </row>
    <row r="110" spans="1:18" x14ac:dyDescent="0.25">
      <c r="A110" s="2" t="s">
        <v>16</v>
      </c>
      <c r="B110" s="2" t="s">
        <v>341</v>
      </c>
      <c r="C110" s="2" t="s">
        <v>342</v>
      </c>
      <c r="D110" s="2" t="s">
        <v>343</v>
      </c>
      <c r="E110" s="3">
        <v>45797</v>
      </c>
      <c r="F110" s="3">
        <v>46162</v>
      </c>
      <c r="G110" s="4">
        <v>0.1</v>
      </c>
      <c r="H110" s="10">
        <v>0.10249999999999999</v>
      </c>
      <c r="I110" s="10">
        <v>0.10199999999999999</v>
      </c>
      <c r="J110" s="5">
        <v>377000</v>
      </c>
      <c r="K110" s="5">
        <v>377000</v>
      </c>
      <c r="L110" s="5">
        <v>0</v>
      </c>
      <c r="M110" s="4">
        <v>1</v>
      </c>
      <c r="N110" s="2">
        <v>3</v>
      </c>
      <c r="O110" s="5">
        <v>0</v>
      </c>
      <c r="P110" s="5">
        <v>3220</v>
      </c>
      <c r="Q110" s="3">
        <v>46023</v>
      </c>
      <c r="R110" s="6">
        <f t="shared" si="2"/>
        <v>37700</v>
      </c>
    </row>
    <row r="111" spans="1:18" x14ac:dyDescent="0.25">
      <c r="A111" s="2" t="s">
        <v>16</v>
      </c>
      <c r="B111" s="2" t="s">
        <v>344</v>
      </c>
      <c r="C111" s="2" t="s">
        <v>345</v>
      </c>
      <c r="D111" s="2" t="s">
        <v>346</v>
      </c>
      <c r="E111" s="3">
        <v>45800</v>
      </c>
      <c r="F111" s="3">
        <v>46165</v>
      </c>
      <c r="G111" s="4">
        <v>0.2</v>
      </c>
      <c r="H111" s="10">
        <v>0.11</v>
      </c>
      <c r="I111" s="10">
        <v>0.1071</v>
      </c>
      <c r="J111" s="5">
        <v>418725</v>
      </c>
      <c r="K111" s="5">
        <v>418725</v>
      </c>
      <c r="L111" s="5">
        <v>0</v>
      </c>
      <c r="M111" s="4">
        <v>1</v>
      </c>
      <c r="N111" s="2">
        <v>4</v>
      </c>
      <c r="O111" s="5">
        <v>0</v>
      </c>
      <c r="P111" s="5">
        <v>3802</v>
      </c>
      <c r="Q111" s="3">
        <v>46023</v>
      </c>
      <c r="R111" s="6">
        <f t="shared" si="2"/>
        <v>83745</v>
      </c>
    </row>
    <row r="112" spans="1:18" x14ac:dyDescent="0.25">
      <c r="A112" s="2" t="s">
        <v>16</v>
      </c>
      <c r="B112" s="2" t="s">
        <v>347</v>
      </c>
      <c r="C112" s="2" t="s">
        <v>348</v>
      </c>
      <c r="D112" s="2" t="s">
        <v>349</v>
      </c>
      <c r="E112" s="3">
        <v>45804</v>
      </c>
      <c r="F112" s="3">
        <v>46169</v>
      </c>
      <c r="G112" s="4">
        <v>0.05</v>
      </c>
      <c r="H112" s="10">
        <v>0.105</v>
      </c>
      <c r="I112" s="10">
        <v>0.104</v>
      </c>
      <c r="J112" s="5">
        <v>363000</v>
      </c>
      <c r="K112" s="5">
        <v>323000</v>
      </c>
      <c r="L112" s="5">
        <v>40000</v>
      </c>
      <c r="M112" s="4">
        <v>0.89</v>
      </c>
      <c r="N112" s="2">
        <v>7</v>
      </c>
      <c r="O112" s="5">
        <v>0</v>
      </c>
      <c r="P112" s="5">
        <v>2826</v>
      </c>
      <c r="Q112" s="3">
        <v>46023</v>
      </c>
      <c r="R112" s="6">
        <f t="shared" si="2"/>
        <v>16150</v>
      </c>
    </row>
    <row r="113" spans="1:18" x14ac:dyDescent="0.25">
      <c r="A113" s="2" t="s">
        <v>16</v>
      </c>
      <c r="B113" s="2" t="s">
        <v>350</v>
      </c>
      <c r="C113" s="2" t="s">
        <v>351</v>
      </c>
      <c r="D113" s="2" t="s">
        <v>352</v>
      </c>
      <c r="E113" s="3">
        <v>45804</v>
      </c>
      <c r="F113" s="3">
        <v>46169</v>
      </c>
      <c r="G113" s="4">
        <v>0.1</v>
      </c>
      <c r="H113" s="10">
        <v>0.105</v>
      </c>
      <c r="I113" s="10">
        <v>0.104</v>
      </c>
      <c r="J113" s="5">
        <v>301000</v>
      </c>
      <c r="K113" s="5">
        <v>225000</v>
      </c>
      <c r="L113" s="5">
        <v>76000</v>
      </c>
      <c r="M113" s="4">
        <v>0.75</v>
      </c>
      <c r="N113" s="2">
        <v>1</v>
      </c>
      <c r="O113" s="5">
        <v>0</v>
      </c>
      <c r="P113" s="5">
        <v>1969</v>
      </c>
      <c r="Q113" s="3">
        <v>46113</v>
      </c>
      <c r="R113" s="6">
        <f t="shared" si="2"/>
        <v>22500</v>
      </c>
    </row>
    <row r="114" spans="1:18" x14ac:dyDescent="0.25">
      <c r="A114" s="2" t="s">
        <v>16</v>
      </c>
      <c r="B114" s="2" t="s">
        <v>353</v>
      </c>
      <c r="C114" s="2" t="s">
        <v>354</v>
      </c>
      <c r="D114" s="2" t="s">
        <v>355</v>
      </c>
      <c r="E114" s="3">
        <v>45821</v>
      </c>
      <c r="F114" s="3">
        <v>46186</v>
      </c>
      <c r="G114" s="4">
        <v>0.1</v>
      </c>
      <c r="H114" s="10">
        <v>0.105</v>
      </c>
      <c r="I114" s="10">
        <v>0.1021</v>
      </c>
      <c r="J114" s="5">
        <v>589500</v>
      </c>
      <c r="K114" s="5">
        <v>589500</v>
      </c>
      <c r="L114" s="5">
        <v>0</v>
      </c>
      <c r="M114" s="4">
        <v>1</v>
      </c>
      <c r="N114" s="2">
        <v>1</v>
      </c>
      <c r="O114" s="5">
        <v>0</v>
      </c>
      <c r="P114" s="5">
        <v>5158</v>
      </c>
      <c r="Q114" s="3">
        <v>46023</v>
      </c>
      <c r="R114" s="6">
        <f t="shared" si="2"/>
        <v>58950</v>
      </c>
    </row>
    <row r="115" spans="1:18" x14ac:dyDescent="0.25">
      <c r="A115" s="2" t="s">
        <v>16</v>
      </c>
      <c r="B115" s="2" t="s">
        <v>356</v>
      </c>
      <c r="C115" s="2" t="s">
        <v>357</v>
      </c>
      <c r="D115" s="2" t="s">
        <v>358</v>
      </c>
      <c r="E115" s="3">
        <v>45835</v>
      </c>
      <c r="F115" s="3">
        <v>46200</v>
      </c>
      <c r="G115" s="4">
        <v>0.1</v>
      </c>
      <c r="H115" s="10">
        <v>0.11</v>
      </c>
      <c r="I115" s="10">
        <v>0.1031</v>
      </c>
      <c r="J115" s="5">
        <v>591300</v>
      </c>
      <c r="K115" s="5">
        <v>591300</v>
      </c>
      <c r="L115" s="5">
        <v>0</v>
      </c>
      <c r="M115" s="4">
        <v>1</v>
      </c>
      <c r="N115" s="2">
        <v>1</v>
      </c>
      <c r="O115" s="5">
        <v>0</v>
      </c>
      <c r="P115" s="5">
        <v>5420</v>
      </c>
      <c r="Q115" s="3">
        <v>46023</v>
      </c>
      <c r="R115" s="6">
        <f t="shared" si="2"/>
        <v>59130</v>
      </c>
    </row>
    <row r="116" spans="1:18" x14ac:dyDescent="0.25">
      <c r="A116" s="2" t="s">
        <v>16</v>
      </c>
      <c r="B116" s="2" t="s">
        <v>359</v>
      </c>
      <c r="C116" s="2" t="s">
        <v>360</v>
      </c>
      <c r="D116" s="2" t="s">
        <v>361</v>
      </c>
      <c r="E116" s="3">
        <v>45838</v>
      </c>
      <c r="F116" s="3">
        <v>46203</v>
      </c>
      <c r="G116" s="4">
        <v>0.1</v>
      </c>
      <c r="H116" s="10">
        <v>0.1125</v>
      </c>
      <c r="I116" s="10">
        <v>0.1036</v>
      </c>
      <c r="J116" s="5">
        <v>1456100</v>
      </c>
      <c r="K116" s="5">
        <v>1379265</v>
      </c>
      <c r="L116" s="5">
        <v>76835</v>
      </c>
      <c r="M116" s="4">
        <v>0.95</v>
      </c>
      <c r="N116" s="2">
        <v>11</v>
      </c>
      <c r="O116" s="5">
        <v>0</v>
      </c>
      <c r="P116" s="5">
        <v>12258</v>
      </c>
      <c r="Q116" s="3">
        <v>46023</v>
      </c>
      <c r="R116" s="6">
        <f t="shared" si="2"/>
        <v>137926.5</v>
      </c>
    </row>
    <row r="117" spans="1:18" x14ac:dyDescent="0.25">
      <c r="A117" s="2" t="s">
        <v>16</v>
      </c>
      <c r="B117" s="2" t="s">
        <v>362</v>
      </c>
      <c r="C117" s="2" t="s">
        <v>363</v>
      </c>
      <c r="D117" s="2" t="s">
        <v>364</v>
      </c>
      <c r="E117" s="3">
        <v>45847</v>
      </c>
      <c r="F117" s="3">
        <v>46212</v>
      </c>
      <c r="G117" s="4">
        <v>0.2</v>
      </c>
      <c r="H117" s="10">
        <v>0.115</v>
      </c>
      <c r="I117" s="10">
        <v>0.114</v>
      </c>
      <c r="J117" s="5">
        <v>224250</v>
      </c>
      <c r="K117" s="5">
        <v>120011</v>
      </c>
      <c r="L117" s="5">
        <v>104239</v>
      </c>
      <c r="M117" s="4">
        <v>0.54</v>
      </c>
      <c r="N117" s="2">
        <v>2</v>
      </c>
      <c r="O117" s="5">
        <v>0</v>
      </c>
      <c r="P117" s="5">
        <v>1150</v>
      </c>
      <c r="Q117" s="3">
        <v>46082</v>
      </c>
      <c r="R117" s="6">
        <f t="shared" si="2"/>
        <v>24002.2</v>
      </c>
    </row>
    <row r="118" spans="1:18" x14ac:dyDescent="0.25">
      <c r="A118" s="2" t="s">
        <v>16</v>
      </c>
      <c r="B118" s="2" t="s">
        <v>365</v>
      </c>
      <c r="C118" s="2" t="s">
        <v>366</v>
      </c>
      <c r="D118" s="2" t="s">
        <v>367</v>
      </c>
      <c r="E118" s="3">
        <v>45847</v>
      </c>
      <c r="F118" s="3">
        <v>46212</v>
      </c>
      <c r="G118" s="4">
        <v>0.2</v>
      </c>
      <c r="H118" s="10">
        <v>0.115</v>
      </c>
      <c r="I118" s="10">
        <v>0.114</v>
      </c>
      <c r="J118" s="5">
        <v>224250</v>
      </c>
      <c r="K118" s="5">
        <v>120017</v>
      </c>
      <c r="L118" s="5">
        <v>104233</v>
      </c>
      <c r="M118" s="4">
        <v>0.54</v>
      </c>
      <c r="N118" s="2">
        <v>2</v>
      </c>
      <c r="O118" s="5">
        <v>0</v>
      </c>
      <c r="P118" s="5">
        <v>1137</v>
      </c>
      <c r="Q118" s="3">
        <v>46082</v>
      </c>
      <c r="R118" s="6">
        <f t="shared" si="2"/>
        <v>24003.4</v>
      </c>
    </row>
    <row r="119" spans="1:18" x14ac:dyDescent="0.25">
      <c r="A119" s="2" t="s">
        <v>16</v>
      </c>
      <c r="B119" s="2" t="s">
        <v>368</v>
      </c>
      <c r="C119" s="2" t="s">
        <v>369</v>
      </c>
      <c r="D119" s="2" t="s">
        <v>370</v>
      </c>
      <c r="E119" s="3">
        <v>45847</v>
      </c>
      <c r="F119" s="3">
        <v>46212</v>
      </c>
      <c r="G119" s="4">
        <v>0.2</v>
      </c>
      <c r="H119" s="10">
        <v>0.115</v>
      </c>
      <c r="I119" s="10">
        <v>0.1041</v>
      </c>
      <c r="J119" s="5">
        <v>234000</v>
      </c>
      <c r="K119" s="5">
        <v>120003</v>
      </c>
      <c r="L119" s="5">
        <v>113997</v>
      </c>
      <c r="M119" s="4">
        <v>0.51</v>
      </c>
      <c r="N119" s="2">
        <v>2</v>
      </c>
      <c r="O119" s="5">
        <v>0</v>
      </c>
      <c r="P119" s="5">
        <v>1150</v>
      </c>
      <c r="Q119" s="3">
        <v>46082</v>
      </c>
      <c r="R119" s="6">
        <f t="shared" si="2"/>
        <v>24000.600000000002</v>
      </c>
    </row>
    <row r="120" spans="1:18" x14ac:dyDescent="0.25">
      <c r="A120" s="2" t="s">
        <v>16</v>
      </c>
      <c r="B120" s="2" t="s">
        <v>371</v>
      </c>
      <c r="C120" s="2" t="s">
        <v>372</v>
      </c>
      <c r="D120" s="2" t="s">
        <v>373</v>
      </c>
      <c r="E120" s="3">
        <v>45854</v>
      </c>
      <c r="F120" s="3">
        <v>46219</v>
      </c>
      <c r="G120" s="4">
        <v>0.1</v>
      </c>
      <c r="H120" s="10">
        <v>0.1075</v>
      </c>
      <c r="I120" s="10">
        <v>0.1072</v>
      </c>
      <c r="J120" s="5">
        <v>1729700</v>
      </c>
      <c r="K120" s="5">
        <v>778020</v>
      </c>
      <c r="L120" s="5">
        <v>951680</v>
      </c>
      <c r="M120" s="4">
        <v>0.45</v>
      </c>
      <c r="N120" s="2">
        <v>2</v>
      </c>
      <c r="O120" s="5">
        <v>0</v>
      </c>
      <c r="P120" s="5">
        <v>6970</v>
      </c>
      <c r="Q120" s="3">
        <v>46023</v>
      </c>
      <c r="R120" s="6">
        <f t="shared" si="2"/>
        <v>77802</v>
      </c>
    </row>
    <row r="121" spans="1:18" x14ac:dyDescent="0.25">
      <c r="A121" s="2" t="s">
        <v>16</v>
      </c>
      <c r="B121" s="2" t="s">
        <v>374</v>
      </c>
      <c r="C121" s="2" t="s">
        <v>375</v>
      </c>
      <c r="D121" s="2" t="s">
        <v>376</v>
      </c>
      <c r="E121" s="3">
        <v>45855</v>
      </c>
      <c r="F121" s="3">
        <v>46220</v>
      </c>
      <c r="G121" s="4">
        <v>0.1</v>
      </c>
      <c r="H121" s="10">
        <v>0.105</v>
      </c>
      <c r="I121" s="10">
        <v>0.1021</v>
      </c>
      <c r="J121" s="5">
        <v>515000</v>
      </c>
      <c r="K121" s="5">
        <v>515000</v>
      </c>
      <c r="L121" s="5">
        <v>0</v>
      </c>
      <c r="M121" s="4">
        <v>1</v>
      </c>
      <c r="N121" s="2">
        <v>4</v>
      </c>
      <c r="O121" s="5">
        <v>0</v>
      </c>
      <c r="P121" s="5">
        <v>4506</v>
      </c>
      <c r="Q121" s="3">
        <v>46023</v>
      </c>
      <c r="R121" s="6">
        <f t="shared" si="2"/>
        <v>51500</v>
      </c>
    </row>
    <row r="122" spans="1:18" x14ac:dyDescent="0.25">
      <c r="A122" s="2" t="s">
        <v>16</v>
      </c>
      <c r="B122" s="2" t="s">
        <v>377</v>
      </c>
      <c r="C122" s="2" t="s">
        <v>378</v>
      </c>
      <c r="D122" s="2" t="s">
        <v>379</v>
      </c>
      <c r="E122" s="3">
        <v>45863</v>
      </c>
      <c r="F122" s="3">
        <v>46228</v>
      </c>
      <c r="G122" s="4">
        <v>0.05</v>
      </c>
      <c r="H122" s="10">
        <v>0.105</v>
      </c>
      <c r="I122" s="10">
        <v>0.10249999999999999</v>
      </c>
      <c r="J122" s="5">
        <v>745400</v>
      </c>
      <c r="K122" s="5">
        <v>552500</v>
      </c>
      <c r="L122" s="5">
        <v>192900</v>
      </c>
      <c r="M122" s="4">
        <v>0.74</v>
      </c>
      <c r="N122" s="2">
        <v>1</v>
      </c>
      <c r="O122" s="5">
        <v>0</v>
      </c>
      <c r="P122" s="5">
        <v>4834</v>
      </c>
      <c r="Q122" s="3">
        <v>46082</v>
      </c>
      <c r="R122" s="6">
        <f t="shared" si="2"/>
        <v>27625</v>
      </c>
    </row>
    <row r="123" spans="1:18" x14ac:dyDescent="0.25">
      <c r="A123" s="2" t="s">
        <v>16</v>
      </c>
      <c r="B123" s="2" t="s">
        <v>380</v>
      </c>
      <c r="C123" s="2" t="s">
        <v>381</v>
      </c>
      <c r="D123" s="2" t="s">
        <v>382</v>
      </c>
      <c r="E123" s="3">
        <v>45866</v>
      </c>
      <c r="F123" s="3">
        <v>46231</v>
      </c>
      <c r="G123" s="4">
        <v>0.1</v>
      </c>
      <c r="H123" s="10">
        <v>0.1099</v>
      </c>
      <c r="I123" s="10">
        <v>0.1031</v>
      </c>
      <c r="J123" s="5">
        <v>508539</v>
      </c>
      <c r="K123" s="5">
        <v>408139</v>
      </c>
      <c r="L123" s="5">
        <v>100400</v>
      </c>
      <c r="M123" s="4">
        <v>0.8</v>
      </c>
      <c r="N123" s="2">
        <v>4</v>
      </c>
      <c r="O123" s="5">
        <v>0</v>
      </c>
      <c r="P123" s="5">
        <v>3570</v>
      </c>
      <c r="Q123" s="3">
        <v>46023</v>
      </c>
      <c r="R123" s="6">
        <f t="shared" si="2"/>
        <v>40813.9</v>
      </c>
    </row>
    <row r="124" spans="1:18" x14ac:dyDescent="0.25">
      <c r="A124" s="2" t="s">
        <v>16</v>
      </c>
      <c r="B124" s="2" t="s">
        <v>383</v>
      </c>
      <c r="C124" s="2" t="s">
        <v>384</v>
      </c>
      <c r="D124" s="2" t="s">
        <v>385</v>
      </c>
      <c r="E124" s="3">
        <v>45877</v>
      </c>
      <c r="F124" s="3">
        <v>46242</v>
      </c>
      <c r="G124" s="4">
        <v>0.1</v>
      </c>
      <c r="H124" s="10">
        <v>0.11</v>
      </c>
      <c r="I124" s="10">
        <v>0.1031</v>
      </c>
      <c r="J124" s="5">
        <v>606200</v>
      </c>
      <c r="K124" s="5">
        <v>531200</v>
      </c>
      <c r="L124" s="5">
        <v>75000</v>
      </c>
      <c r="M124" s="4">
        <v>0.88</v>
      </c>
      <c r="N124" s="2">
        <v>1</v>
      </c>
      <c r="O124" s="5">
        <v>0</v>
      </c>
      <c r="P124" s="5">
        <v>4869</v>
      </c>
      <c r="Q124" s="3">
        <v>46023</v>
      </c>
      <c r="R124" s="6">
        <f t="shared" si="2"/>
        <v>53120</v>
      </c>
    </row>
    <row r="125" spans="1:18" x14ac:dyDescent="0.25">
      <c r="A125" s="2" t="s">
        <v>16</v>
      </c>
      <c r="B125" s="2" t="s">
        <v>386</v>
      </c>
      <c r="C125" s="2" t="s">
        <v>387</v>
      </c>
      <c r="D125" s="2" t="s">
        <v>388</v>
      </c>
      <c r="E125" s="3">
        <v>45877</v>
      </c>
      <c r="F125" s="3">
        <v>46242</v>
      </c>
      <c r="G125" s="4">
        <v>0.1</v>
      </c>
      <c r="H125" s="10">
        <v>0.10249999999999999</v>
      </c>
      <c r="I125" s="10">
        <v>0.1012</v>
      </c>
      <c r="J125" s="5">
        <v>722700</v>
      </c>
      <c r="K125" s="5">
        <v>623700</v>
      </c>
      <c r="L125" s="5">
        <v>99000</v>
      </c>
      <c r="M125" s="4">
        <v>0.86</v>
      </c>
      <c r="N125" s="2">
        <v>1</v>
      </c>
      <c r="O125" s="5">
        <v>0</v>
      </c>
      <c r="P125" s="5">
        <v>5327</v>
      </c>
      <c r="Q125" s="3">
        <v>46023</v>
      </c>
      <c r="R125" s="6">
        <f t="shared" si="2"/>
        <v>62370</v>
      </c>
    </row>
    <row r="126" spans="1:18" x14ac:dyDescent="0.25">
      <c r="A126" s="2" t="s">
        <v>16</v>
      </c>
      <c r="B126" s="2" t="s">
        <v>389</v>
      </c>
      <c r="C126" s="2" t="s">
        <v>390</v>
      </c>
      <c r="D126" s="2" t="s">
        <v>391</v>
      </c>
      <c r="E126" s="3">
        <v>45880</v>
      </c>
      <c r="F126" s="3">
        <v>46245</v>
      </c>
      <c r="G126" s="4">
        <v>0.1</v>
      </c>
      <c r="H126" s="10">
        <v>0.1075</v>
      </c>
      <c r="I126" s="10">
        <v>0.1026</v>
      </c>
      <c r="J126" s="5">
        <v>396500</v>
      </c>
      <c r="K126" s="5">
        <v>245966</v>
      </c>
      <c r="L126" s="5">
        <v>150534</v>
      </c>
      <c r="M126" s="4">
        <v>0.62</v>
      </c>
      <c r="N126" s="2">
        <v>3</v>
      </c>
      <c r="O126" s="5">
        <v>0</v>
      </c>
      <c r="P126" s="5">
        <v>2149</v>
      </c>
      <c r="Q126" s="3">
        <v>46023</v>
      </c>
      <c r="R126" s="6">
        <f t="shared" si="2"/>
        <v>24596.600000000002</v>
      </c>
    </row>
    <row r="127" spans="1:18" x14ac:dyDescent="0.25">
      <c r="A127" s="2" t="s">
        <v>16</v>
      </c>
      <c r="B127" s="2" t="s">
        <v>392</v>
      </c>
      <c r="C127" s="2" t="s">
        <v>393</v>
      </c>
      <c r="D127" s="2" t="s">
        <v>394</v>
      </c>
      <c r="E127" s="3">
        <v>45887</v>
      </c>
      <c r="F127" s="3">
        <v>46252</v>
      </c>
      <c r="G127" s="4">
        <v>0.1</v>
      </c>
      <c r="H127" s="10">
        <v>0.1125</v>
      </c>
      <c r="I127" s="10">
        <v>0.1036</v>
      </c>
      <c r="J127" s="5">
        <v>367500</v>
      </c>
      <c r="K127" s="5">
        <v>151500</v>
      </c>
      <c r="L127" s="5">
        <v>216000</v>
      </c>
      <c r="M127" s="4">
        <v>0.41</v>
      </c>
      <c r="N127" s="2">
        <v>1</v>
      </c>
      <c r="O127" s="5">
        <v>0</v>
      </c>
      <c r="P127" s="5">
        <v>1420</v>
      </c>
      <c r="Q127" s="3">
        <v>46023</v>
      </c>
      <c r="R127" s="6">
        <f t="shared" si="2"/>
        <v>15150</v>
      </c>
    </row>
    <row r="128" spans="1:18" x14ac:dyDescent="0.25">
      <c r="A128" s="2" t="s">
        <v>16</v>
      </c>
      <c r="B128" s="2" t="s">
        <v>395</v>
      </c>
      <c r="C128" s="2" t="s">
        <v>396</v>
      </c>
      <c r="D128" s="2" t="s">
        <v>397</v>
      </c>
      <c r="E128" s="3">
        <v>45890</v>
      </c>
      <c r="F128" s="3">
        <v>46255</v>
      </c>
      <c r="G128" s="4">
        <v>0.1</v>
      </c>
      <c r="H128" s="10">
        <v>0.1099</v>
      </c>
      <c r="I128" s="10">
        <v>0.1031</v>
      </c>
      <c r="J128" s="5">
        <v>74000</v>
      </c>
      <c r="K128" s="5">
        <v>74000</v>
      </c>
      <c r="L128" s="5">
        <v>0</v>
      </c>
      <c r="M128" s="4">
        <v>1</v>
      </c>
      <c r="N128" s="2">
        <v>4</v>
      </c>
      <c r="O128" s="5">
        <v>0</v>
      </c>
      <c r="P128" s="5">
        <v>678</v>
      </c>
      <c r="Q128" s="3">
        <v>46204</v>
      </c>
      <c r="R128" s="6">
        <f t="shared" si="2"/>
        <v>7400</v>
      </c>
    </row>
    <row r="129" spans="1:18" x14ac:dyDescent="0.25">
      <c r="A129" s="2" t="s">
        <v>16</v>
      </c>
      <c r="B129" s="2" t="s">
        <v>398</v>
      </c>
      <c r="C129" s="2" t="s">
        <v>399</v>
      </c>
      <c r="D129" s="2" t="s">
        <v>400</v>
      </c>
      <c r="E129" s="3">
        <v>45890</v>
      </c>
      <c r="F129" s="3">
        <v>46255</v>
      </c>
      <c r="G129" s="4">
        <v>0.1</v>
      </c>
      <c r="H129" s="10">
        <v>0.1099</v>
      </c>
      <c r="I129" s="10">
        <v>0.10489999999999999</v>
      </c>
      <c r="J129" s="5">
        <v>168000</v>
      </c>
      <c r="K129" s="5">
        <v>168000</v>
      </c>
      <c r="L129" s="5">
        <v>0</v>
      </c>
      <c r="M129" s="4">
        <v>1</v>
      </c>
      <c r="N129" s="2">
        <v>6</v>
      </c>
      <c r="O129" s="5">
        <v>0</v>
      </c>
      <c r="P129" s="5">
        <v>1429</v>
      </c>
      <c r="Q129" s="3">
        <v>46023</v>
      </c>
      <c r="R129" s="6">
        <f t="shared" si="2"/>
        <v>16800</v>
      </c>
    </row>
    <row r="130" spans="1:18" x14ac:dyDescent="0.25">
      <c r="A130" s="2" t="s">
        <v>16</v>
      </c>
      <c r="B130" s="2" t="s">
        <v>401</v>
      </c>
      <c r="C130" s="2" t="s">
        <v>402</v>
      </c>
      <c r="D130" s="2" t="s">
        <v>403</v>
      </c>
      <c r="E130" s="3">
        <v>45891</v>
      </c>
      <c r="F130" s="3">
        <v>46256</v>
      </c>
      <c r="G130" s="4">
        <v>0.1</v>
      </c>
      <c r="H130" s="10">
        <v>0.10249999999999999</v>
      </c>
      <c r="I130" s="10">
        <v>0.1012</v>
      </c>
      <c r="J130" s="5">
        <v>563000</v>
      </c>
      <c r="K130" s="5">
        <v>556000</v>
      </c>
      <c r="L130" s="5">
        <v>7000</v>
      </c>
      <c r="M130" s="4">
        <v>0.99</v>
      </c>
      <c r="N130" s="2">
        <v>4</v>
      </c>
      <c r="O130" s="5">
        <v>0</v>
      </c>
      <c r="P130" s="5">
        <v>4736</v>
      </c>
      <c r="Q130" s="3">
        <v>46023</v>
      </c>
      <c r="R130" s="6">
        <f t="shared" ref="R130:R160" si="3">G130*K130</f>
        <v>55600</v>
      </c>
    </row>
    <row r="131" spans="1:18" x14ac:dyDescent="0.25">
      <c r="A131" s="2" t="s">
        <v>16</v>
      </c>
      <c r="B131" s="2" t="s">
        <v>404</v>
      </c>
      <c r="C131" s="2" t="s">
        <v>405</v>
      </c>
      <c r="D131" s="2" t="s">
        <v>406</v>
      </c>
      <c r="E131" s="3">
        <v>45895</v>
      </c>
      <c r="F131" s="3">
        <v>46260</v>
      </c>
      <c r="G131" s="4">
        <v>0.05</v>
      </c>
      <c r="H131" s="10">
        <v>0.1099</v>
      </c>
      <c r="I131" s="10">
        <v>0.1031</v>
      </c>
      <c r="J131" s="5">
        <v>540900</v>
      </c>
      <c r="K131" s="5">
        <v>407150</v>
      </c>
      <c r="L131" s="5">
        <v>133750</v>
      </c>
      <c r="M131" s="4">
        <v>0.75</v>
      </c>
      <c r="N131" s="2">
        <v>1</v>
      </c>
      <c r="O131" s="5">
        <v>0</v>
      </c>
      <c r="P131" s="5">
        <v>3729</v>
      </c>
      <c r="Q131" s="3">
        <v>46023</v>
      </c>
      <c r="R131" s="6">
        <f t="shared" si="3"/>
        <v>20357.5</v>
      </c>
    </row>
    <row r="132" spans="1:18" x14ac:dyDescent="0.25">
      <c r="A132" s="2" t="s">
        <v>16</v>
      </c>
      <c r="B132" s="2" t="s">
        <v>407</v>
      </c>
      <c r="C132" s="2" t="s">
        <v>408</v>
      </c>
      <c r="D132" s="2" t="s">
        <v>409</v>
      </c>
      <c r="E132" s="3">
        <v>45896</v>
      </c>
      <c r="F132" s="3">
        <v>46261</v>
      </c>
      <c r="G132" s="4">
        <v>0.1</v>
      </c>
      <c r="H132" s="10">
        <v>0.10249999999999999</v>
      </c>
      <c r="I132" s="10">
        <v>0.1012</v>
      </c>
      <c r="J132" s="5">
        <v>844000</v>
      </c>
      <c r="K132" s="5">
        <v>719480</v>
      </c>
      <c r="L132" s="5">
        <v>124520</v>
      </c>
      <c r="M132" s="4">
        <v>0.85</v>
      </c>
      <c r="N132" s="2">
        <v>2</v>
      </c>
      <c r="O132" s="5">
        <v>0</v>
      </c>
      <c r="P132" s="5">
        <v>6146</v>
      </c>
      <c r="Q132" s="3">
        <v>46023</v>
      </c>
      <c r="R132" s="6">
        <f t="shared" si="3"/>
        <v>71948</v>
      </c>
    </row>
    <row r="133" spans="1:18" x14ac:dyDescent="0.25">
      <c r="A133" s="2" t="s">
        <v>16</v>
      </c>
      <c r="B133" s="2" t="s">
        <v>410</v>
      </c>
      <c r="C133" s="2" t="s">
        <v>411</v>
      </c>
      <c r="D133" s="2" t="s">
        <v>412</v>
      </c>
      <c r="E133" s="3">
        <v>45898</v>
      </c>
      <c r="F133" s="3">
        <v>46446</v>
      </c>
      <c r="G133" s="4">
        <v>0.1</v>
      </c>
      <c r="H133" s="10">
        <v>0.1075</v>
      </c>
      <c r="I133" s="10">
        <v>0.1026</v>
      </c>
      <c r="J133" s="5">
        <v>3219738</v>
      </c>
      <c r="K133" s="5">
        <v>1710000</v>
      </c>
      <c r="L133" s="5">
        <v>1509738</v>
      </c>
      <c r="M133" s="4">
        <v>0.53</v>
      </c>
      <c r="N133" s="2">
        <v>1</v>
      </c>
      <c r="O133" s="5">
        <v>2305</v>
      </c>
      <c r="P133" s="5">
        <v>15319</v>
      </c>
      <c r="Q133" s="3">
        <v>46023</v>
      </c>
      <c r="R133" s="6">
        <f t="shared" si="3"/>
        <v>171000</v>
      </c>
    </row>
    <row r="134" spans="1:18" x14ac:dyDescent="0.25">
      <c r="A134" s="2" t="s">
        <v>16</v>
      </c>
      <c r="B134" s="2" t="s">
        <v>413</v>
      </c>
      <c r="C134" s="2" t="s">
        <v>414</v>
      </c>
      <c r="D134" s="2" t="s">
        <v>415</v>
      </c>
      <c r="E134" s="3">
        <v>45904</v>
      </c>
      <c r="F134" s="3">
        <v>46269</v>
      </c>
      <c r="G134" s="4">
        <v>0.05</v>
      </c>
      <c r="H134" s="10">
        <v>0.105</v>
      </c>
      <c r="I134" s="10">
        <v>0.1021</v>
      </c>
      <c r="J134" s="5">
        <v>553000</v>
      </c>
      <c r="K134" s="5">
        <v>505141</v>
      </c>
      <c r="L134" s="5">
        <v>47859</v>
      </c>
      <c r="M134" s="4">
        <v>0.91</v>
      </c>
      <c r="N134" s="2">
        <v>4</v>
      </c>
      <c r="O134" s="5">
        <v>4420</v>
      </c>
      <c r="P134" s="5">
        <v>4420</v>
      </c>
      <c r="Q134" s="3">
        <v>45992</v>
      </c>
      <c r="R134" s="6">
        <f t="shared" si="3"/>
        <v>25257.050000000003</v>
      </c>
    </row>
    <row r="135" spans="1:18" x14ac:dyDescent="0.25">
      <c r="A135" s="2" t="s">
        <v>16</v>
      </c>
      <c r="B135" s="2" t="s">
        <v>416</v>
      </c>
      <c r="C135" s="2" t="s">
        <v>417</v>
      </c>
      <c r="D135" s="2" t="s">
        <v>418</v>
      </c>
      <c r="E135" s="3">
        <v>45917</v>
      </c>
      <c r="F135" s="3">
        <v>46282</v>
      </c>
      <c r="G135" s="4">
        <v>0.05</v>
      </c>
      <c r="H135" s="10">
        <v>0.10249999999999999</v>
      </c>
      <c r="I135" s="10">
        <v>0.1012</v>
      </c>
      <c r="J135" s="5">
        <v>863730</v>
      </c>
      <c r="K135" s="5">
        <v>495000</v>
      </c>
      <c r="L135" s="5">
        <v>368730</v>
      </c>
      <c r="M135" s="4">
        <v>0.56999999999999995</v>
      </c>
      <c r="N135" s="2">
        <v>1</v>
      </c>
      <c r="O135" s="5">
        <v>0</v>
      </c>
      <c r="P135" s="5">
        <v>4228</v>
      </c>
      <c r="Q135" s="3">
        <v>46023</v>
      </c>
      <c r="R135" s="6">
        <f t="shared" si="3"/>
        <v>24750</v>
      </c>
    </row>
    <row r="136" spans="1:18" x14ac:dyDescent="0.25">
      <c r="A136" s="2" t="s">
        <v>16</v>
      </c>
      <c r="B136" s="2" t="s">
        <v>419</v>
      </c>
      <c r="C136" s="2" t="s">
        <v>420</v>
      </c>
      <c r="D136" s="2" t="s">
        <v>421</v>
      </c>
      <c r="E136" s="3">
        <v>45918</v>
      </c>
      <c r="F136" s="3">
        <v>46283</v>
      </c>
      <c r="G136" s="4">
        <v>0.05</v>
      </c>
      <c r="H136" s="10">
        <v>0.10249999999999999</v>
      </c>
      <c r="I136" s="10">
        <v>0.1012</v>
      </c>
      <c r="J136" s="5">
        <v>484200</v>
      </c>
      <c r="K136" s="5">
        <v>484200</v>
      </c>
      <c r="L136" s="5">
        <v>0</v>
      </c>
      <c r="M136" s="4">
        <v>1</v>
      </c>
      <c r="N136" s="2">
        <v>1</v>
      </c>
      <c r="O136" s="5">
        <v>0</v>
      </c>
      <c r="P136" s="5">
        <v>4136</v>
      </c>
      <c r="Q136" s="3">
        <v>46023</v>
      </c>
      <c r="R136" s="6">
        <f t="shared" si="3"/>
        <v>24210</v>
      </c>
    </row>
    <row r="137" spans="1:18" x14ac:dyDescent="0.25">
      <c r="A137" s="2" t="s">
        <v>16</v>
      </c>
      <c r="B137" s="2" t="s">
        <v>422</v>
      </c>
      <c r="C137" s="2" t="s">
        <v>423</v>
      </c>
      <c r="D137" s="2" t="s">
        <v>424</v>
      </c>
      <c r="E137" s="3">
        <v>45925</v>
      </c>
      <c r="F137" s="3">
        <v>46290</v>
      </c>
      <c r="G137" s="4">
        <v>0.1</v>
      </c>
      <c r="H137" s="10">
        <v>0.1075</v>
      </c>
      <c r="I137" s="10">
        <v>0.1026</v>
      </c>
      <c r="J137" s="5">
        <v>343000</v>
      </c>
      <c r="K137" s="5">
        <v>180040</v>
      </c>
      <c r="L137" s="5">
        <v>162960</v>
      </c>
      <c r="M137" s="4">
        <v>0.52</v>
      </c>
      <c r="N137" s="2">
        <v>1</v>
      </c>
      <c r="O137" s="5">
        <v>0</v>
      </c>
      <c r="P137" s="5">
        <v>1613</v>
      </c>
      <c r="Q137" s="3">
        <v>46054</v>
      </c>
      <c r="R137" s="6">
        <f t="shared" si="3"/>
        <v>18004</v>
      </c>
    </row>
    <row r="138" spans="1:18" x14ac:dyDescent="0.25">
      <c r="A138" s="2" t="s">
        <v>16</v>
      </c>
      <c r="B138" s="2" t="s">
        <v>425</v>
      </c>
      <c r="C138" s="2" t="s">
        <v>426</v>
      </c>
      <c r="D138" s="2" t="s">
        <v>427</v>
      </c>
      <c r="E138" s="3">
        <v>45926</v>
      </c>
      <c r="F138" s="3">
        <v>46291</v>
      </c>
      <c r="G138" s="4">
        <v>0.33</v>
      </c>
      <c r="H138" s="10">
        <v>9.9900000000000003E-2</v>
      </c>
      <c r="I138" s="10">
        <v>9.9199999999999997E-2</v>
      </c>
      <c r="J138" s="5">
        <v>482400</v>
      </c>
      <c r="K138" s="5">
        <v>482400</v>
      </c>
      <c r="L138" s="5">
        <v>0</v>
      </c>
      <c r="M138" s="4">
        <v>1</v>
      </c>
      <c r="N138" s="2">
        <v>1</v>
      </c>
      <c r="O138" s="5">
        <v>0</v>
      </c>
      <c r="P138" s="5">
        <v>4016</v>
      </c>
      <c r="Q138" s="3">
        <v>46023</v>
      </c>
      <c r="R138" s="6">
        <f t="shared" si="3"/>
        <v>159192</v>
      </c>
    </row>
    <row r="139" spans="1:18" x14ac:dyDescent="0.25">
      <c r="A139" s="2" t="s">
        <v>16</v>
      </c>
      <c r="B139" s="2" t="s">
        <v>428</v>
      </c>
      <c r="C139" s="2" t="s">
        <v>429</v>
      </c>
      <c r="D139" s="2" t="s">
        <v>430</v>
      </c>
      <c r="E139" s="3">
        <v>45936</v>
      </c>
      <c r="F139" s="3">
        <v>46301</v>
      </c>
      <c r="G139" s="4">
        <v>0.1</v>
      </c>
      <c r="H139" s="10">
        <v>9.7500000000000003E-2</v>
      </c>
      <c r="I139" s="10">
        <v>9.6000000000000002E-2</v>
      </c>
      <c r="J139" s="5">
        <v>525000</v>
      </c>
      <c r="K139" s="5">
        <v>463500</v>
      </c>
      <c r="L139" s="5">
        <v>61500</v>
      </c>
      <c r="M139" s="4">
        <v>0.88</v>
      </c>
      <c r="N139" s="2">
        <v>1</v>
      </c>
      <c r="O139" s="5">
        <v>0</v>
      </c>
      <c r="P139" s="5">
        <v>3766</v>
      </c>
      <c r="Q139" s="3">
        <v>46023</v>
      </c>
      <c r="R139" s="6">
        <f t="shared" si="3"/>
        <v>46350</v>
      </c>
    </row>
    <row r="140" spans="1:18" x14ac:dyDescent="0.25">
      <c r="A140" s="2" t="s">
        <v>16</v>
      </c>
      <c r="B140" s="2" t="s">
        <v>431</v>
      </c>
      <c r="C140" s="2" t="s">
        <v>432</v>
      </c>
      <c r="D140" s="2" t="s">
        <v>433</v>
      </c>
      <c r="E140" s="3">
        <v>45939</v>
      </c>
      <c r="F140" s="3">
        <v>46304</v>
      </c>
      <c r="G140" s="4">
        <v>0.1</v>
      </c>
      <c r="H140" s="10">
        <v>0.1075</v>
      </c>
      <c r="I140" s="10">
        <v>0.1026</v>
      </c>
      <c r="J140" s="5">
        <v>360400</v>
      </c>
      <c r="K140" s="5">
        <v>192400</v>
      </c>
      <c r="L140" s="5">
        <v>168000</v>
      </c>
      <c r="M140" s="4">
        <v>0.53</v>
      </c>
      <c r="N140" s="2">
        <v>1</v>
      </c>
      <c r="O140" s="5">
        <v>0</v>
      </c>
      <c r="P140" s="5">
        <v>1724</v>
      </c>
      <c r="Q140" s="3">
        <v>46023</v>
      </c>
      <c r="R140" s="6">
        <f t="shared" si="3"/>
        <v>19240</v>
      </c>
    </row>
    <row r="141" spans="1:18" x14ac:dyDescent="0.25">
      <c r="A141" s="2" t="s">
        <v>16</v>
      </c>
      <c r="B141" s="2" t="s">
        <v>434</v>
      </c>
      <c r="C141" s="2" t="s">
        <v>435</v>
      </c>
      <c r="D141" s="2" t="s">
        <v>436</v>
      </c>
      <c r="E141" s="3">
        <v>45944</v>
      </c>
      <c r="F141" s="3">
        <v>46309</v>
      </c>
      <c r="G141" s="4">
        <v>0.05</v>
      </c>
      <c r="H141" s="10">
        <v>0.1099</v>
      </c>
      <c r="I141" s="10">
        <v>0.1031</v>
      </c>
      <c r="J141" s="5">
        <v>538966</v>
      </c>
      <c r="K141" s="5">
        <v>506646</v>
      </c>
      <c r="L141" s="5">
        <v>32320</v>
      </c>
      <c r="M141" s="4">
        <v>0.94</v>
      </c>
      <c r="N141" s="2">
        <v>6</v>
      </c>
      <c r="O141" s="5">
        <v>0</v>
      </c>
      <c r="P141" s="5">
        <v>4271</v>
      </c>
      <c r="Q141" s="3">
        <v>46023</v>
      </c>
      <c r="R141" s="6">
        <f t="shared" si="3"/>
        <v>25332.300000000003</v>
      </c>
    </row>
    <row r="142" spans="1:18" x14ac:dyDescent="0.25">
      <c r="A142" s="2" t="s">
        <v>16</v>
      </c>
      <c r="B142" s="2" t="s">
        <v>437</v>
      </c>
      <c r="C142" s="2" t="s">
        <v>438</v>
      </c>
      <c r="D142" s="2" t="s">
        <v>439</v>
      </c>
      <c r="E142" s="3">
        <v>45945</v>
      </c>
      <c r="F142" s="3">
        <v>46310</v>
      </c>
      <c r="G142" s="4">
        <v>0.05</v>
      </c>
      <c r="H142" s="10">
        <v>0.1099</v>
      </c>
      <c r="I142" s="10">
        <v>0.1031</v>
      </c>
      <c r="J142" s="5">
        <v>276750</v>
      </c>
      <c r="K142" s="5">
        <v>238360</v>
      </c>
      <c r="L142" s="5">
        <v>38390</v>
      </c>
      <c r="M142" s="4">
        <v>0.86</v>
      </c>
      <c r="N142" s="2">
        <v>4</v>
      </c>
      <c r="O142" s="5">
        <v>0</v>
      </c>
      <c r="P142" s="5">
        <v>1592</v>
      </c>
      <c r="Q142" s="3">
        <v>46174</v>
      </c>
      <c r="R142" s="6">
        <f t="shared" si="3"/>
        <v>11918</v>
      </c>
    </row>
    <row r="143" spans="1:18" x14ac:dyDescent="0.25">
      <c r="A143" s="2" t="s">
        <v>16</v>
      </c>
      <c r="B143" s="2" t="s">
        <v>440</v>
      </c>
      <c r="C143" s="2" t="s">
        <v>441</v>
      </c>
      <c r="D143" s="2" t="s">
        <v>442</v>
      </c>
      <c r="E143" s="3">
        <v>45946</v>
      </c>
      <c r="F143" s="3">
        <v>46311</v>
      </c>
      <c r="G143" s="4">
        <v>0.05</v>
      </c>
      <c r="H143" s="10">
        <v>0.105</v>
      </c>
      <c r="I143" s="10">
        <v>0.1021</v>
      </c>
      <c r="J143" s="5">
        <v>501500</v>
      </c>
      <c r="K143" s="5">
        <v>501500</v>
      </c>
      <c r="L143" s="5">
        <v>0</v>
      </c>
      <c r="M143" s="4">
        <v>1</v>
      </c>
      <c r="N143" s="2">
        <v>1</v>
      </c>
      <c r="O143" s="5">
        <v>0</v>
      </c>
      <c r="P143" s="5">
        <v>4388</v>
      </c>
      <c r="Q143" s="3">
        <v>46023</v>
      </c>
      <c r="R143" s="6">
        <f t="shared" si="3"/>
        <v>25075</v>
      </c>
    </row>
    <row r="144" spans="1:18" x14ac:dyDescent="0.25">
      <c r="A144" s="2" t="s">
        <v>16</v>
      </c>
      <c r="B144" s="2" t="s">
        <v>443</v>
      </c>
      <c r="C144" s="2" t="s">
        <v>444</v>
      </c>
      <c r="D144" s="2" t="s">
        <v>445</v>
      </c>
      <c r="E144" s="3">
        <v>45947</v>
      </c>
      <c r="F144" s="3">
        <v>46312</v>
      </c>
      <c r="G144" s="4">
        <v>0.1</v>
      </c>
      <c r="H144" s="10">
        <v>0.1075</v>
      </c>
      <c r="I144" s="10">
        <v>0.1026</v>
      </c>
      <c r="J144" s="5">
        <v>209812</v>
      </c>
      <c r="K144" s="5">
        <v>97750</v>
      </c>
      <c r="L144" s="5">
        <v>112062</v>
      </c>
      <c r="M144" s="4">
        <v>0.47</v>
      </c>
      <c r="N144" s="2">
        <v>1</v>
      </c>
      <c r="O144" s="5">
        <v>0</v>
      </c>
      <c r="P144" s="5">
        <v>876</v>
      </c>
      <c r="Q144" s="3">
        <v>46023</v>
      </c>
      <c r="R144" s="6">
        <f t="shared" si="3"/>
        <v>9775</v>
      </c>
    </row>
    <row r="145" spans="1:18" x14ac:dyDescent="0.25">
      <c r="A145" s="2" t="s">
        <v>16</v>
      </c>
      <c r="B145" s="2" t="s">
        <v>446</v>
      </c>
      <c r="C145" s="2" t="s">
        <v>447</v>
      </c>
      <c r="D145" s="2" t="s">
        <v>448</v>
      </c>
      <c r="E145" s="3">
        <v>45950</v>
      </c>
      <c r="F145" s="3">
        <v>46315</v>
      </c>
      <c r="G145" s="4">
        <v>0</v>
      </c>
      <c r="H145" s="10">
        <v>0.11</v>
      </c>
      <c r="I145" s="10">
        <v>0.1031</v>
      </c>
      <c r="J145" s="5">
        <v>908184</v>
      </c>
      <c r="K145" s="5">
        <v>908184</v>
      </c>
      <c r="L145" s="5">
        <v>0</v>
      </c>
      <c r="M145" s="4">
        <v>1</v>
      </c>
      <c r="N145" s="2">
        <v>2</v>
      </c>
      <c r="O145" s="5">
        <v>0</v>
      </c>
      <c r="P145" s="5">
        <v>7993</v>
      </c>
      <c r="Q145" s="3">
        <v>46023</v>
      </c>
      <c r="R145" s="6">
        <f t="shared" si="3"/>
        <v>0</v>
      </c>
    </row>
    <row r="146" spans="1:18" x14ac:dyDescent="0.25">
      <c r="A146" s="2" t="s">
        <v>16</v>
      </c>
      <c r="B146" s="2" t="s">
        <v>449</v>
      </c>
      <c r="C146" s="2" t="s">
        <v>450</v>
      </c>
      <c r="D146" s="2" t="s">
        <v>451</v>
      </c>
      <c r="E146" s="3">
        <v>45951</v>
      </c>
      <c r="F146" s="3">
        <v>46316</v>
      </c>
      <c r="G146" s="4">
        <v>0.05</v>
      </c>
      <c r="H146" s="10">
        <v>0.11</v>
      </c>
      <c r="I146" s="10">
        <v>0.1031</v>
      </c>
      <c r="J146" s="5">
        <v>235750</v>
      </c>
      <c r="K146" s="5">
        <v>169600</v>
      </c>
      <c r="L146" s="5">
        <v>66150</v>
      </c>
      <c r="M146" s="4">
        <v>0.72</v>
      </c>
      <c r="N146" s="2">
        <v>1</v>
      </c>
      <c r="O146" s="5">
        <v>0</v>
      </c>
      <c r="P146" s="5">
        <v>1555</v>
      </c>
      <c r="Q146" s="3">
        <v>46023</v>
      </c>
      <c r="R146" s="6">
        <f t="shared" si="3"/>
        <v>8480</v>
      </c>
    </row>
    <row r="147" spans="1:18" x14ac:dyDescent="0.25">
      <c r="A147" s="2" t="s">
        <v>16</v>
      </c>
      <c r="B147" s="2" t="s">
        <v>452</v>
      </c>
      <c r="C147" s="2" t="s">
        <v>453</v>
      </c>
      <c r="D147" s="2" t="s">
        <v>454</v>
      </c>
      <c r="E147" s="3">
        <v>45952</v>
      </c>
      <c r="F147" s="3">
        <v>46317</v>
      </c>
      <c r="G147" s="4">
        <v>0.2</v>
      </c>
      <c r="H147" s="10">
        <v>0.1075</v>
      </c>
      <c r="I147" s="10">
        <v>0.1026</v>
      </c>
      <c r="J147" s="5">
        <v>615500</v>
      </c>
      <c r="K147" s="5">
        <v>365500</v>
      </c>
      <c r="L147" s="5">
        <v>250000</v>
      </c>
      <c r="M147" s="4">
        <v>0.59</v>
      </c>
      <c r="N147" s="2">
        <v>1</v>
      </c>
      <c r="O147" s="5">
        <v>0</v>
      </c>
      <c r="P147" s="5">
        <v>3274</v>
      </c>
      <c r="Q147" s="3">
        <v>46174</v>
      </c>
      <c r="R147" s="6">
        <f t="shared" si="3"/>
        <v>73100</v>
      </c>
    </row>
    <row r="148" spans="1:18" x14ac:dyDescent="0.25">
      <c r="A148" s="2" t="s">
        <v>16</v>
      </c>
      <c r="B148" s="2" t="s">
        <v>455</v>
      </c>
      <c r="C148" s="2" t="s">
        <v>456</v>
      </c>
      <c r="D148" s="2" t="s">
        <v>457</v>
      </c>
      <c r="E148" s="3">
        <v>45953</v>
      </c>
      <c r="F148" s="3">
        <v>46318</v>
      </c>
      <c r="G148" s="4">
        <v>0.16</v>
      </c>
      <c r="H148" s="10">
        <v>0.10249999999999999</v>
      </c>
      <c r="I148" s="10">
        <v>0.10050000000000001</v>
      </c>
      <c r="J148" s="5">
        <v>180600</v>
      </c>
      <c r="K148" s="5">
        <v>134800</v>
      </c>
      <c r="L148" s="5">
        <v>45800</v>
      </c>
      <c r="M148" s="4">
        <v>0.75</v>
      </c>
      <c r="N148" s="2">
        <v>1</v>
      </c>
      <c r="O148" s="5">
        <v>0</v>
      </c>
      <c r="P148" s="5">
        <v>1151</v>
      </c>
      <c r="Q148" s="3">
        <v>46082</v>
      </c>
      <c r="R148" s="6">
        <f t="shared" si="3"/>
        <v>21568</v>
      </c>
    </row>
    <row r="149" spans="1:18" x14ac:dyDescent="0.25">
      <c r="A149" s="2" t="s">
        <v>16</v>
      </c>
      <c r="B149" s="2" t="s">
        <v>458</v>
      </c>
      <c r="C149" s="2" t="s">
        <v>459</v>
      </c>
      <c r="D149" s="2" t="s">
        <v>460</v>
      </c>
      <c r="E149" s="3">
        <v>45958</v>
      </c>
      <c r="F149" s="3">
        <v>46323</v>
      </c>
      <c r="G149" s="4">
        <v>0.12</v>
      </c>
      <c r="H149" s="10">
        <v>9.9900000000000003E-2</v>
      </c>
      <c r="I149" s="10">
        <v>9.9199999999999997E-2</v>
      </c>
      <c r="J149" s="5">
        <v>1103000</v>
      </c>
      <c r="K149" s="5">
        <v>1071345</v>
      </c>
      <c r="L149" s="5">
        <v>31655</v>
      </c>
      <c r="M149" s="4">
        <v>0.97</v>
      </c>
      <c r="N149" s="2">
        <v>3</v>
      </c>
      <c r="O149" s="5">
        <v>0</v>
      </c>
      <c r="P149" s="5">
        <v>8776</v>
      </c>
      <c r="Q149" s="3">
        <v>46023</v>
      </c>
      <c r="R149" s="6">
        <f t="shared" si="3"/>
        <v>128561.4</v>
      </c>
    </row>
    <row r="150" spans="1:18" x14ac:dyDescent="0.25">
      <c r="A150" s="2" t="s">
        <v>16</v>
      </c>
      <c r="B150" s="2" t="s">
        <v>461</v>
      </c>
      <c r="C150" s="2" t="s">
        <v>462</v>
      </c>
      <c r="D150" s="2" t="s">
        <v>463</v>
      </c>
      <c r="E150" s="3">
        <v>45960</v>
      </c>
      <c r="F150" s="3">
        <v>46325</v>
      </c>
      <c r="G150" s="4">
        <v>0.1</v>
      </c>
      <c r="H150" s="10">
        <v>9.7500000000000003E-2</v>
      </c>
      <c r="I150" s="10">
        <v>9.7500000000000003E-2</v>
      </c>
      <c r="J150" s="5">
        <v>583000</v>
      </c>
      <c r="K150" s="5">
        <v>544249</v>
      </c>
      <c r="L150" s="5">
        <v>38751</v>
      </c>
      <c r="M150" s="4">
        <v>0.93</v>
      </c>
      <c r="N150" s="2">
        <v>2</v>
      </c>
      <c r="O150" s="5">
        <v>0</v>
      </c>
      <c r="P150" s="5">
        <v>4168</v>
      </c>
      <c r="Q150" s="3">
        <v>46023</v>
      </c>
      <c r="R150" s="6">
        <f t="shared" si="3"/>
        <v>54424.9</v>
      </c>
    </row>
    <row r="151" spans="1:18" x14ac:dyDescent="0.25">
      <c r="A151" s="2" t="s">
        <v>16</v>
      </c>
      <c r="B151" s="2" t="s">
        <v>464</v>
      </c>
      <c r="C151" s="2" t="s">
        <v>465</v>
      </c>
      <c r="D151" s="2" t="s">
        <v>466</v>
      </c>
      <c r="E151" s="3">
        <v>45964</v>
      </c>
      <c r="F151" s="3">
        <v>46329</v>
      </c>
      <c r="G151" s="4">
        <v>0.1</v>
      </c>
      <c r="H151" s="10">
        <v>0.105</v>
      </c>
      <c r="I151" s="10">
        <v>0.1021</v>
      </c>
      <c r="J151" s="5">
        <v>500900</v>
      </c>
      <c r="K151" s="5">
        <v>424400</v>
      </c>
      <c r="L151" s="5">
        <v>76500</v>
      </c>
      <c r="M151" s="4">
        <v>0.85</v>
      </c>
      <c r="N151" s="2">
        <v>2</v>
      </c>
      <c r="O151" s="5">
        <v>0</v>
      </c>
      <c r="P151" s="5">
        <v>3353</v>
      </c>
      <c r="Q151" s="3">
        <v>46113</v>
      </c>
      <c r="R151" s="6">
        <f t="shared" si="3"/>
        <v>42440</v>
      </c>
    </row>
    <row r="152" spans="1:18" x14ac:dyDescent="0.25">
      <c r="A152" s="2" t="s">
        <v>16</v>
      </c>
      <c r="B152" s="2" t="s">
        <v>467</v>
      </c>
      <c r="C152" s="2" t="s">
        <v>468</v>
      </c>
      <c r="D152" s="2" t="s">
        <v>469</v>
      </c>
      <c r="E152" s="3">
        <v>45964</v>
      </c>
      <c r="F152" s="3">
        <v>46329</v>
      </c>
      <c r="G152" s="4">
        <v>0.1</v>
      </c>
      <c r="H152" s="10">
        <v>0.105</v>
      </c>
      <c r="I152" s="10">
        <v>0.1021</v>
      </c>
      <c r="J152" s="5">
        <v>460510</v>
      </c>
      <c r="K152" s="5">
        <v>381510</v>
      </c>
      <c r="L152" s="5">
        <v>79000</v>
      </c>
      <c r="M152" s="4">
        <v>0.83</v>
      </c>
      <c r="N152" s="2">
        <v>1</v>
      </c>
      <c r="O152" s="5">
        <v>0</v>
      </c>
      <c r="P152" s="5">
        <v>3116</v>
      </c>
      <c r="Q152" s="3">
        <v>46113</v>
      </c>
      <c r="R152" s="6">
        <f t="shared" si="3"/>
        <v>38151</v>
      </c>
    </row>
    <row r="153" spans="1:18" x14ac:dyDescent="0.25">
      <c r="A153" s="2" t="s">
        <v>16</v>
      </c>
      <c r="B153" s="2" t="s">
        <v>470</v>
      </c>
      <c r="C153" s="2" t="s">
        <v>471</v>
      </c>
      <c r="D153" s="2" t="s">
        <v>472</v>
      </c>
      <c r="E153" s="3">
        <v>45965</v>
      </c>
      <c r="F153" s="3">
        <v>46330</v>
      </c>
      <c r="G153" s="4">
        <v>0.1</v>
      </c>
      <c r="H153" s="10">
        <v>0.10249999999999999</v>
      </c>
      <c r="I153" s="10">
        <v>0.1012</v>
      </c>
      <c r="J153" s="5">
        <v>368000</v>
      </c>
      <c r="K153" s="5">
        <v>299200</v>
      </c>
      <c r="L153" s="5">
        <v>68800</v>
      </c>
      <c r="M153" s="4">
        <v>0.81</v>
      </c>
      <c r="N153" s="2">
        <v>2</v>
      </c>
      <c r="O153" s="5">
        <v>0</v>
      </c>
      <c r="P153" s="5">
        <v>2214</v>
      </c>
      <c r="Q153" s="3">
        <v>46054</v>
      </c>
      <c r="R153" s="6">
        <f t="shared" si="3"/>
        <v>29920</v>
      </c>
    </row>
    <row r="154" spans="1:18" x14ac:dyDescent="0.25">
      <c r="A154" s="2" t="s">
        <v>16</v>
      </c>
      <c r="B154" s="2" t="s">
        <v>473</v>
      </c>
      <c r="C154" s="2" t="s">
        <v>474</v>
      </c>
      <c r="D154" s="2" t="s">
        <v>475</v>
      </c>
      <c r="E154" s="3">
        <v>45968</v>
      </c>
      <c r="F154" s="3">
        <v>46333</v>
      </c>
      <c r="G154" s="4">
        <v>0.05</v>
      </c>
      <c r="H154" s="10">
        <v>0.1075</v>
      </c>
      <c r="I154" s="10">
        <v>0.1026</v>
      </c>
      <c r="J154" s="5">
        <v>212925</v>
      </c>
      <c r="K154" s="5">
        <v>97838</v>
      </c>
      <c r="L154" s="5">
        <v>115087</v>
      </c>
      <c r="M154" s="4">
        <v>0.46</v>
      </c>
      <c r="N154" s="2">
        <v>3</v>
      </c>
      <c r="O154" s="5">
        <v>0</v>
      </c>
      <c r="P154" s="5">
        <v>366</v>
      </c>
      <c r="Q154" s="3">
        <v>46054</v>
      </c>
      <c r="R154" s="6">
        <f t="shared" si="3"/>
        <v>4891.9000000000005</v>
      </c>
    </row>
    <row r="155" spans="1:18" x14ac:dyDescent="0.25">
      <c r="A155" s="2" t="s">
        <v>16</v>
      </c>
      <c r="B155" s="2" t="s">
        <v>476</v>
      </c>
      <c r="C155" s="2" t="s">
        <v>477</v>
      </c>
      <c r="D155" s="2" t="s">
        <v>478</v>
      </c>
      <c r="E155" s="3">
        <v>45974</v>
      </c>
      <c r="F155" s="3">
        <v>46339</v>
      </c>
      <c r="G155" s="4">
        <v>0.1</v>
      </c>
      <c r="H155" s="10">
        <v>9.9900000000000003E-2</v>
      </c>
      <c r="I155" s="10">
        <v>9.9199999999999997E-2</v>
      </c>
      <c r="J155" s="5">
        <v>1100000</v>
      </c>
      <c r="K155" s="5">
        <v>730563</v>
      </c>
      <c r="L155" s="5">
        <v>369437</v>
      </c>
      <c r="M155" s="4">
        <v>0.66</v>
      </c>
      <c r="N155" s="2">
        <v>2</v>
      </c>
      <c r="O155" s="5">
        <v>0</v>
      </c>
      <c r="P155" s="5">
        <v>2997</v>
      </c>
      <c r="Q155" s="3">
        <v>46388</v>
      </c>
      <c r="R155" s="6">
        <f t="shared" si="3"/>
        <v>73056.3</v>
      </c>
    </row>
    <row r="156" spans="1:18" x14ac:dyDescent="0.25">
      <c r="A156" s="2" t="s">
        <v>16</v>
      </c>
      <c r="B156" s="2" t="s">
        <v>479</v>
      </c>
      <c r="C156" s="2" t="s">
        <v>480</v>
      </c>
      <c r="D156" s="2" t="s">
        <v>481</v>
      </c>
      <c r="E156" s="3">
        <v>45974</v>
      </c>
      <c r="F156" s="3">
        <v>46339</v>
      </c>
      <c r="G156" s="4">
        <v>0.2</v>
      </c>
      <c r="H156" s="10">
        <v>0.1099</v>
      </c>
      <c r="I156" s="10">
        <v>0.1031</v>
      </c>
      <c r="J156" s="5">
        <v>1964379</v>
      </c>
      <c r="K156" s="5">
        <v>1588928</v>
      </c>
      <c r="L156" s="5">
        <v>375451</v>
      </c>
      <c r="M156" s="4">
        <v>0.81</v>
      </c>
      <c r="N156" s="2">
        <v>4</v>
      </c>
      <c r="O156" s="5">
        <v>0</v>
      </c>
      <c r="P156" s="5">
        <v>7957</v>
      </c>
      <c r="Q156" s="3">
        <v>46204</v>
      </c>
      <c r="R156" s="6">
        <f t="shared" si="3"/>
        <v>317785.60000000003</v>
      </c>
    </row>
    <row r="157" spans="1:18" x14ac:dyDescent="0.25">
      <c r="A157" s="2" t="s">
        <v>16</v>
      </c>
      <c r="B157" s="2" t="s">
        <v>482</v>
      </c>
      <c r="C157" s="2" t="s">
        <v>483</v>
      </c>
      <c r="D157" s="2" t="s">
        <v>484</v>
      </c>
      <c r="E157" s="3">
        <v>45974</v>
      </c>
      <c r="F157" s="3">
        <v>46339</v>
      </c>
      <c r="G157" s="4">
        <v>0.2</v>
      </c>
      <c r="H157" s="10">
        <v>0.115</v>
      </c>
      <c r="I157" s="10">
        <v>0.1075</v>
      </c>
      <c r="J157" s="5">
        <v>748800</v>
      </c>
      <c r="K157" s="5">
        <v>658800</v>
      </c>
      <c r="L157" s="5">
        <v>90000</v>
      </c>
      <c r="M157" s="4">
        <v>0.88</v>
      </c>
      <c r="N157" s="2">
        <v>1</v>
      </c>
      <c r="O157" s="5">
        <v>0</v>
      </c>
      <c r="P157" s="5">
        <v>3788</v>
      </c>
      <c r="Q157" s="3">
        <v>46204</v>
      </c>
      <c r="R157" s="6">
        <f t="shared" si="3"/>
        <v>131760</v>
      </c>
    </row>
    <row r="158" spans="1:18" x14ac:dyDescent="0.25">
      <c r="A158" s="2" t="s">
        <v>16</v>
      </c>
      <c r="B158" s="2" t="s">
        <v>485</v>
      </c>
      <c r="C158" s="2" t="s">
        <v>486</v>
      </c>
      <c r="D158" s="2" t="s">
        <v>487</v>
      </c>
      <c r="E158" s="3">
        <v>45975</v>
      </c>
      <c r="F158" s="3">
        <v>46340</v>
      </c>
      <c r="G158" s="4">
        <v>0.2</v>
      </c>
      <c r="H158" s="10">
        <v>0.1099</v>
      </c>
      <c r="I158" s="10">
        <v>0.1031</v>
      </c>
      <c r="J158" s="5">
        <v>735100</v>
      </c>
      <c r="K158" s="5">
        <v>485100</v>
      </c>
      <c r="L158" s="5">
        <v>250000</v>
      </c>
      <c r="M158" s="4">
        <v>0.66</v>
      </c>
      <c r="N158" s="2">
        <v>1</v>
      </c>
      <c r="O158" s="5">
        <v>0</v>
      </c>
      <c r="P158" s="5">
        <v>2518</v>
      </c>
      <c r="Q158" s="3">
        <v>46113</v>
      </c>
      <c r="R158" s="6">
        <f t="shared" si="3"/>
        <v>97020</v>
      </c>
    </row>
    <row r="159" spans="1:18" x14ac:dyDescent="0.25">
      <c r="A159" s="2" t="s">
        <v>16</v>
      </c>
      <c r="B159" s="2" t="s">
        <v>488</v>
      </c>
      <c r="C159" s="2" t="s">
        <v>489</v>
      </c>
      <c r="D159" s="2" t="s">
        <v>490</v>
      </c>
      <c r="E159" s="3">
        <v>45981</v>
      </c>
      <c r="F159" s="3">
        <v>46346</v>
      </c>
      <c r="G159" s="4">
        <v>0.05</v>
      </c>
      <c r="H159" s="10">
        <v>0.1099</v>
      </c>
      <c r="I159" s="10">
        <v>0.1031</v>
      </c>
      <c r="J159" s="5">
        <v>461307</v>
      </c>
      <c r="K159" s="5">
        <v>378736</v>
      </c>
      <c r="L159" s="5">
        <v>82571</v>
      </c>
      <c r="M159" s="4">
        <v>0.82</v>
      </c>
      <c r="N159" s="2">
        <v>3</v>
      </c>
      <c r="O159" s="5">
        <v>0</v>
      </c>
      <c r="P159" s="5">
        <v>1142</v>
      </c>
      <c r="Q159" s="3">
        <v>46054</v>
      </c>
      <c r="R159" s="6">
        <f t="shared" si="3"/>
        <v>18936.8</v>
      </c>
    </row>
    <row r="160" spans="1:18" x14ac:dyDescent="0.25">
      <c r="A160" s="2" t="s">
        <v>16</v>
      </c>
      <c r="B160" s="2" t="s">
        <v>491</v>
      </c>
      <c r="C160" s="2" t="s">
        <v>492</v>
      </c>
      <c r="D160" s="2" t="s">
        <v>493</v>
      </c>
      <c r="E160" s="3">
        <v>45981</v>
      </c>
      <c r="F160" s="3">
        <v>46346</v>
      </c>
      <c r="G160" s="4">
        <v>0.1</v>
      </c>
      <c r="H160" s="10">
        <v>0.105</v>
      </c>
      <c r="I160" s="10">
        <v>0.1021</v>
      </c>
      <c r="J160" s="5">
        <v>150000</v>
      </c>
      <c r="K160" s="5">
        <v>135000</v>
      </c>
      <c r="L160" s="5">
        <v>15000</v>
      </c>
      <c r="M160" s="4">
        <v>0.9</v>
      </c>
      <c r="N160" s="2">
        <v>1</v>
      </c>
      <c r="O160" s="5">
        <v>0</v>
      </c>
      <c r="P160" s="5">
        <v>433</v>
      </c>
      <c r="Q160" s="3">
        <v>46054</v>
      </c>
      <c r="R160" s="6">
        <f t="shared" si="3"/>
        <v>13500</v>
      </c>
    </row>
    <row r="161" spans="1:18" x14ac:dyDescent="0.25">
      <c r="A161" s="2" t="s">
        <v>16</v>
      </c>
      <c r="B161" s="2" t="s">
        <v>494</v>
      </c>
      <c r="C161" s="2" t="s">
        <v>495</v>
      </c>
      <c r="D161" s="2" t="s">
        <v>496</v>
      </c>
      <c r="E161" s="3">
        <v>45981</v>
      </c>
      <c r="F161" s="3">
        <v>46346</v>
      </c>
      <c r="G161" s="4">
        <v>0.1</v>
      </c>
      <c r="H161" s="10">
        <v>0.1075</v>
      </c>
      <c r="I161" s="10">
        <v>0.1026</v>
      </c>
      <c r="J161" s="5">
        <v>564580</v>
      </c>
      <c r="K161" s="5">
        <v>519170</v>
      </c>
      <c r="L161" s="5">
        <v>45410</v>
      </c>
      <c r="M161" s="4">
        <v>0.92</v>
      </c>
      <c r="N161" s="2">
        <v>3</v>
      </c>
      <c r="O161" s="5">
        <v>0</v>
      </c>
      <c r="P161" s="5">
        <v>1542</v>
      </c>
      <c r="Q161" s="3">
        <v>46054</v>
      </c>
      <c r="R161" s="6">
        <f t="shared" ref="R161:R168" si="4">G161*K161</f>
        <v>51917</v>
      </c>
    </row>
    <row r="162" spans="1:18" x14ac:dyDescent="0.25">
      <c r="A162" s="2" t="s">
        <v>16</v>
      </c>
      <c r="B162" s="2" t="s">
        <v>497</v>
      </c>
      <c r="C162" s="2" t="s">
        <v>498</v>
      </c>
      <c r="D162" s="2" t="s">
        <v>499</v>
      </c>
      <c r="E162" s="3">
        <v>45985</v>
      </c>
      <c r="F162" s="3">
        <v>46350</v>
      </c>
      <c r="G162" s="4">
        <v>0.1</v>
      </c>
      <c r="H162" s="10">
        <v>0.105</v>
      </c>
      <c r="I162" s="10">
        <v>0.1021</v>
      </c>
      <c r="J162" s="5">
        <v>88000</v>
      </c>
      <c r="K162" s="5">
        <v>73000</v>
      </c>
      <c r="L162" s="5">
        <v>15000</v>
      </c>
      <c r="M162" s="4">
        <v>0.83</v>
      </c>
      <c r="N162" s="2">
        <v>1</v>
      </c>
      <c r="O162" s="5">
        <v>0</v>
      </c>
      <c r="P162" s="5">
        <v>180</v>
      </c>
      <c r="Q162" s="3">
        <v>46054</v>
      </c>
      <c r="R162" s="6">
        <f t="shared" si="4"/>
        <v>7300</v>
      </c>
    </row>
    <row r="163" spans="1:18" x14ac:dyDescent="0.25">
      <c r="A163" s="2" t="s">
        <v>16</v>
      </c>
      <c r="B163" s="2" t="s">
        <v>500</v>
      </c>
      <c r="C163" s="2" t="s">
        <v>501</v>
      </c>
      <c r="D163" s="2" t="s">
        <v>502</v>
      </c>
      <c r="E163" s="3">
        <v>45986</v>
      </c>
      <c r="F163" s="3">
        <v>46351</v>
      </c>
      <c r="G163" s="4">
        <v>0.1</v>
      </c>
      <c r="H163" s="10">
        <v>0.1</v>
      </c>
      <c r="I163" s="10">
        <v>9.9000000000000005E-2</v>
      </c>
      <c r="J163" s="5">
        <v>580250</v>
      </c>
      <c r="K163" s="5">
        <v>425250</v>
      </c>
      <c r="L163" s="5">
        <v>155000</v>
      </c>
      <c r="M163" s="4">
        <v>0.73</v>
      </c>
      <c r="N163" s="2">
        <v>1</v>
      </c>
      <c r="O163" s="5">
        <v>0</v>
      </c>
      <c r="P163" s="5">
        <v>709</v>
      </c>
      <c r="Q163" s="3">
        <v>46054</v>
      </c>
      <c r="R163" s="6">
        <f t="shared" si="4"/>
        <v>42525</v>
      </c>
    </row>
    <row r="164" spans="1:18" x14ac:dyDescent="0.25">
      <c r="A164" s="2" t="s">
        <v>16</v>
      </c>
      <c r="B164" s="2" t="s">
        <v>503</v>
      </c>
      <c r="C164" s="2" t="s">
        <v>504</v>
      </c>
      <c r="D164" s="2" t="s">
        <v>505</v>
      </c>
      <c r="E164" s="3">
        <v>45992</v>
      </c>
      <c r="F164" s="3">
        <v>46357</v>
      </c>
      <c r="G164" s="4">
        <v>0.1</v>
      </c>
      <c r="H164" s="10">
        <v>0.115</v>
      </c>
      <c r="I164" s="10">
        <v>0.1041</v>
      </c>
      <c r="J164" s="5">
        <v>756000</v>
      </c>
      <c r="K164" s="5">
        <v>756000</v>
      </c>
      <c r="L164" s="5">
        <v>0</v>
      </c>
      <c r="M164" s="4">
        <v>1</v>
      </c>
      <c r="N164" s="2">
        <v>1</v>
      </c>
      <c r="O164" s="5">
        <v>0</v>
      </c>
      <c r="P164" s="5">
        <v>0</v>
      </c>
      <c r="Q164" s="3">
        <v>46235</v>
      </c>
      <c r="R164" s="6">
        <f t="shared" si="4"/>
        <v>75600</v>
      </c>
    </row>
    <row r="165" spans="1:18" x14ac:dyDescent="0.25">
      <c r="A165" s="2" t="s">
        <v>16</v>
      </c>
      <c r="B165" s="2" t="s">
        <v>506</v>
      </c>
      <c r="C165" s="2" t="s">
        <v>507</v>
      </c>
      <c r="D165" s="2" t="s">
        <v>508</v>
      </c>
      <c r="E165" s="3">
        <v>45999</v>
      </c>
      <c r="F165" s="3">
        <v>46364</v>
      </c>
      <c r="G165" s="4">
        <v>0.2</v>
      </c>
      <c r="H165" s="10">
        <v>0.1099</v>
      </c>
      <c r="I165" s="10">
        <v>0.1031</v>
      </c>
      <c r="J165" s="5">
        <v>617500</v>
      </c>
      <c r="K165" s="5">
        <v>513000</v>
      </c>
      <c r="L165" s="5">
        <v>104500</v>
      </c>
      <c r="M165" s="4">
        <v>0.83</v>
      </c>
      <c r="N165" s="2">
        <v>1</v>
      </c>
      <c r="O165" s="5">
        <v>0</v>
      </c>
      <c r="P165" s="5">
        <v>0</v>
      </c>
      <c r="Q165" s="3">
        <v>46082</v>
      </c>
      <c r="R165" s="6">
        <f t="shared" si="4"/>
        <v>102600</v>
      </c>
    </row>
    <row r="166" spans="1:18" x14ac:dyDescent="0.25">
      <c r="A166" s="2" t="s">
        <v>16</v>
      </c>
      <c r="B166" s="2" t="s">
        <v>509</v>
      </c>
      <c r="C166" s="2" t="s">
        <v>510</v>
      </c>
      <c r="D166" s="2" t="s">
        <v>511</v>
      </c>
      <c r="E166" s="3">
        <v>46002</v>
      </c>
      <c r="F166" s="3">
        <v>46367</v>
      </c>
      <c r="G166" s="4">
        <v>0.2</v>
      </c>
      <c r="H166" s="10">
        <v>9.7500000000000003E-2</v>
      </c>
      <c r="I166" s="10">
        <v>9.7000000000000003E-2</v>
      </c>
      <c r="J166" s="5">
        <v>951150</v>
      </c>
      <c r="K166" s="5">
        <v>483650</v>
      </c>
      <c r="L166" s="5">
        <v>467500</v>
      </c>
      <c r="M166" s="4">
        <v>0.51</v>
      </c>
      <c r="N166" s="2">
        <v>1</v>
      </c>
      <c r="O166" s="5">
        <v>0</v>
      </c>
      <c r="P166" s="5">
        <v>0</v>
      </c>
      <c r="Q166" s="3">
        <v>46082</v>
      </c>
      <c r="R166" s="6">
        <f t="shared" si="4"/>
        <v>96730</v>
      </c>
    </row>
    <row r="167" spans="1:18" x14ac:dyDescent="0.25">
      <c r="A167" s="2" t="s">
        <v>16</v>
      </c>
      <c r="B167" s="2" t="s">
        <v>512</v>
      </c>
      <c r="C167" s="2" t="s">
        <v>513</v>
      </c>
      <c r="D167" s="2" t="s">
        <v>514</v>
      </c>
      <c r="E167" s="3">
        <v>46003</v>
      </c>
      <c r="F167" s="3">
        <v>46368</v>
      </c>
      <c r="G167" s="4">
        <v>0.15</v>
      </c>
      <c r="H167" s="10">
        <v>0.1075</v>
      </c>
      <c r="I167" s="10">
        <v>0.1026</v>
      </c>
      <c r="J167" s="5">
        <v>271200</v>
      </c>
      <c r="K167" s="5">
        <v>40000</v>
      </c>
      <c r="L167" s="5">
        <v>231200</v>
      </c>
      <c r="M167" s="4">
        <v>0.15</v>
      </c>
      <c r="N167" s="2">
        <v>1</v>
      </c>
      <c r="O167" s="5">
        <v>0</v>
      </c>
      <c r="P167" s="5">
        <v>0</v>
      </c>
      <c r="Q167" s="3">
        <v>46082</v>
      </c>
      <c r="R167" s="6">
        <f t="shared" si="4"/>
        <v>6000</v>
      </c>
    </row>
    <row r="168" spans="1:18" x14ac:dyDescent="0.25">
      <c r="A168" s="2" t="s">
        <v>16</v>
      </c>
      <c r="B168" s="2" t="s">
        <v>515</v>
      </c>
      <c r="C168" s="2" t="s">
        <v>516</v>
      </c>
      <c r="D168" s="2" t="s">
        <v>517</v>
      </c>
      <c r="E168" s="3">
        <v>46007</v>
      </c>
      <c r="F168" s="3">
        <v>46372</v>
      </c>
      <c r="G168" s="4">
        <v>0.1</v>
      </c>
      <c r="H168" s="10">
        <v>0.105</v>
      </c>
      <c r="I168" s="10">
        <v>0.1021</v>
      </c>
      <c r="J168" s="5">
        <v>153300</v>
      </c>
      <c r="K168" s="5">
        <v>141300</v>
      </c>
      <c r="L168" s="5">
        <v>12000</v>
      </c>
      <c r="M168" s="4">
        <v>0.92</v>
      </c>
      <c r="N168" s="2">
        <v>1</v>
      </c>
      <c r="O168" s="5">
        <v>0</v>
      </c>
      <c r="P168" s="5">
        <v>0</v>
      </c>
      <c r="Q168" s="3">
        <v>46174</v>
      </c>
      <c r="R168" s="6">
        <f t="shared" si="4"/>
        <v>14130</v>
      </c>
    </row>
    <row r="169" spans="1:18" x14ac:dyDescent="0.25">
      <c r="A169" s="2" t="s">
        <v>16</v>
      </c>
      <c r="B169" s="2" t="s">
        <v>518</v>
      </c>
      <c r="C169" s="2" t="s">
        <v>519</v>
      </c>
      <c r="D169" s="2" t="s">
        <v>520</v>
      </c>
      <c r="E169" s="3">
        <v>46009</v>
      </c>
      <c r="F169" s="3">
        <v>46283</v>
      </c>
      <c r="G169" s="4">
        <v>0</v>
      </c>
      <c r="H169" s="10">
        <v>0.10249999999999999</v>
      </c>
      <c r="I169" s="10">
        <v>0.1012</v>
      </c>
      <c r="J169" s="5">
        <v>943150</v>
      </c>
      <c r="K169" s="5">
        <v>742500</v>
      </c>
      <c r="L169" s="5">
        <v>200650</v>
      </c>
      <c r="M169" s="4">
        <v>0.79</v>
      </c>
      <c r="N169" s="2">
        <v>1</v>
      </c>
      <c r="O169" s="5"/>
      <c r="P169" s="5"/>
      <c r="Q169" s="3"/>
      <c r="R169" s="6">
        <f t="shared" ref="R169:R192" si="5">G169*K169</f>
        <v>0</v>
      </c>
    </row>
    <row r="170" spans="1:18" x14ac:dyDescent="0.25">
      <c r="A170" s="2" t="s">
        <v>16</v>
      </c>
      <c r="B170" s="2" t="s">
        <v>521</v>
      </c>
      <c r="C170" s="2" t="s">
        <v>522</v>
      </c>
      <c r="D170" s="2" t="s">
        <v>523</v>
      </c>
      <c r="E170" s="3">
        <v>46009</v>
      </c>
      <c r="F170" s="3">
        <v>46374</v>
      </c>
      <c r="G170" s="4">
        <v>0</v>
      </c>
      <c r="H170" s="10">
        <v>9.7500000000000003E-2</v>
      </c>
      <c r="I170" s="10">
        <v>9.7000000000000003E-2</v>
      </c>
      <c r="J170" s="5">
        <v>945000</v>
      </c>
      <c r="K170" s="5">
        <v>527000</v>
      </c>
      <c r="L170" s="5">
        <v>418000</v>
      </c>
      <c r="M170" s="4">
        <v>0.56000000000000005</v>
      </c>
      <c r="N170" s="2">
        <v>1</v>
      </c>
      <c r="O170" s="5"/>
      <c r="P170" s="5"/>
      <c r="Q170" s="3"/>
      <c r="R170" s="6">
        <f t="shared" si="5"/>
        <v>0</v>
      </c>
    </row>
    <row r="171" spans="1:18" x14ac:dyDescent="0.25">
      <c r="A171" s="2" t="s">
        <v>16</v>
      </c>
      <c r="B171" s="2" t="s">
        <v>524</v>
      </c>
      <c r="C171" s="2" t="s">
        <v>525</v>
      </c>
      <c r="D171" s="2" t="s">
        <v>526</v>
      </c>
      <c r="E171" s="3">
        <v>46010</v>
      </c>
      <c r="F171" s="3">
        <v>46375</v>
      </c>
      <c r="G171" s="4">
        <v>0.05</v>
      </c>
      <c r="H171" s="10">
        <v>0.105</v>
      </c>
      <c r="I171" s="10">
        <v>0.1021</v>
      </c>
      <c r="J171" s="5">
        <v>647500</v>
      </c>
      <c r="K171" s="5">
        <v>571500</v>
      </c>
      <c r="L171" s="5">
        <v>76000</v>
      </c>
      <c r="M171" s="4">
        <v>0.88</v>
      </c>
      <c r="N171" s="2">
        <v>1</v>
      </c>
      <c r="O171" s="5"/>
      <c r="P171" s="5"/>
      <c r="Q171" s="3"/>
      <c r="R171" s="6">
        <f t="shared" si="5"/>
        <v>28575</v>
      </c>
    </row>
    <row r="172" spans="1:18" x14ac:dyDescent="0.25">
      <c r="A172" s="2" t="s">
        <v>16</v>
      </c>
      <c r="B172" s="2" t="s">
        <v>527</v>
      </c>
      <c r="C172" s="2" t="s">
        <v>528</v>
      </c>
      <c r="D172" s="2" t="s">
        <v>529</v>
      </c>
      <c r="E172" s="3">
        <v>46010</v>
      </c>
      <c r="F172" s="3">
        <v>46375</v>
      </c>
      <c r="G172" s="4">
        <v>0</v>
      </c>
      <c r="H172" s="10">
        <v>0.1075</v>
      </c>
      <c r="I172" s="10">
        <v>0.1026</v>
      </c>
      <c r="J172" s="5">
        <v>458500</v>
      </c>
      <c r="K172" s="5">
        <v>405000</v>
      </c>
      <c r="L172" s="5">
        <v>53500</v>
      </c>
      <c r="M172" s="4">
        <v>0.88</v>
      </c>
      <c r="N172" s="2">
        <v>1</v>
      </c>
      <c r="O172" s="5"/>
      <c r="P172" s="5"/>
      <c r="Q172" s="3"/>
      <c r="R172" s="6">
        <f t="shared" si="5"/>
        <v>0</v>
      </c>
    </row>
    <row r="173" spans="1:18" x14ac:dyDescent="0.25">
      <c r="A173" s="2" t="s">
        <v>16</v>
      </c>
      <c r="B173" s="2" t="s">
        <v>530</v>
      </c>
      <c r="C173" s="2" t="s">
        <v>531</v>
      </c>
      <c r="D173" s="2" t="s">
        <v>532</v>
      </c>
      <c r="E173" s="3">
        <v>46013</v>
      </c>
      <c r="F173" s="3">
        <v>46378</v>
      </c>
      <c r="G173" s="4">
        <v>0</v>
      </c>
      <c r="H173" s="10">
        <v>9.9900000000000003E-2</v>
      </c>
      <c r="I173" s="10">
        <v>9.9199999999999997E-2</v>
      </c>
      <c r="J173" s="5">
        <v>995930</v>
      </c>
      <c r="K173" s="5">
        <v>565250</v>
      </c>
      <c r="L173" s="5">
        <v>430680</v>
      </c>
      <c r="M173" s="4">
        <v>0.56999999999999995</v>
      </c>
      <c r="N173" s="2">
        <v>1</v>
      </c>
      <c r="O173" s="5"/>
      <c r="P173" s="5"/>
      <c r="Q173" s="3"/>
      <c r="R173" s="6">
        <f t="shared" si="5"/>
        <v>0</v>
      </c>
    </row>
    <row r="174" spans="1:18" x14ac:dyDescent="0.25">
      <c r="A174" s="2" t="s">
        <v>16</v>
      </c>
      <c r="B174" s="2" t="s">
        <v>533</v>
      </c>
      <c r="C174" s="2" t="s">
        <v>534</v>
      </c>
      <c r="D174" s="2" t="s">
        <v>535</v>
      </c>
      <c r="E174" s="3">
        <v>46013</v>
      </c>
      <c r="F174" s="3">
        <v>46378</v>
      </c>
      <c r="G174" s="4">
        <v>0</v>
      </c>
      <c r="H174" s="10">
        <v>0.105</v>
      </c>
      <c r="I174" s="10">
        <v>0.1021</v>
      </c>
      <c r="J174" s="5">
        <v>431851</v>
      </c>
      <c r="K174" s="5">
        <v>200000</v>
      </c>
      <c r="L174" s="5">
        <v>231851</v>
      </c>
      <c r="M174" s="4">
        <v>0.46</v>
      </c>
      <c r="N174" s="2">
        <v>1</v>
      </c>
      <c r="O174" s="5"/>
      <c r="P174" s="5"/>
      <c r="Q174" s="3"/>
      <c r="R174" s="6">
        <f t="shared" si="5"/>
        <v>0</v>
      </c>
    </row>
    <row r="175" spans="1:18" x14ac:dyDescent="0.25">
      <c r="A175" s="2" t="s">
        <v>16</v>
      </c>
      <c r="B175" s="2" t="s">
        <v>536</v>
      </c>
      <c r="C175" s="2" t="s">
        <v>537</v>
      </c>
      <c r="D175" s="2" t="s">
        <v>538</v>
      </c>
      <c r="E175" s="3">
        <v>46013</v>
      </c>
      <c r="F175" s="3">
        <v>46378</v>
      </c>
      <c r="G175" s="4">
        <v>0</v>
      </c>
      <c r="H175" s="10">
        <v>0.1075</v>
      </c>
      <c r="I175" s="10">
        <v>0.1026</v>
      </c>
      <c r="J175" s="5">
        <v>203450</v>
      </c>
      <c r="K175" s="5">
        <v>157725</v>
      </c>
      <c r="L175" s="5">
        <v>45725</v>
      </c>
      <c r="M175" s="4">
        <v>0.78</v>
      </c>
      <c r="N175" s="2">
        <v>2</v>
      </c>
      <c r="O175" s="5"/>
      <c r="P175" s="5"/>
      <c r="Q175" s="3"/>
      <c r="R175" s="6">
        <f t="shared" si="5"/>
        <v>0</v>
      </c>
    </row>
    <row r="176" spans="1:18" x14ac:dyDescent="0.25">
      <c r="A176" s="2" t="s">
        <v>16</v>
      </c>
      <c r="B176" s="2" t="s">
        <v>539</v>
      </c>
      <c r="C176" s="2" t="s">
        <v>540</v>
      </c>
      <c r="D176" s="2" t="s">
        <v>541</v>
      </c>
      <c r="E176" s="3">
        <v>46014</v>
      </c>
      <c r="F176" s="3">
        <v>46379</v>
      </c>
      <c r="G176" s="4">
        <v>0</v>
      </c>
      <c r="H176" s="10">
        <v>0.12</v>
      </c>
      <c r="I176" s="10">
        <v>0.1162</v>
      </c>
      <c r="J176" s="5">
        <v>440600</v>
      </c>
      <c r="K176" s="5">
        <v>346500</v>
      </c>
      <c r="L176" s="5">
        <v>94100</v>
      </c>
      <c r="M176" s="4">
        <v>0.79</v>
      </c>
      <c r="N176" s="2">
        <v>1</v>
      </c>
      <c r="O176" s="5"/>
      <c r="P176" s="5"/>
      <c r="Q176" s="3"/>
      <c r="R176" s="6">
        <f t="shared" si="5"/>
        <v>0</v>
      </c>
    </row>
    <row r="177" spans="1:18" x14ac:dyDescent="0.25">
      <c r="A177" s="2" t="s">
        <v>16</v>
      </c>
      <c r="B177" s="2" t="s">
        <v>542</v>
      </c>
      <c r="C177" s="2" t="s">
        <v>543</v>
      </c>
      <c r="D177" s="2" t="s">
        <v>544</v>
      </c>
      <c r="E177" s="3">
        <v>46014</v>
      </c>
      <c r="F177" s="3">
        <v>46379</v>
      </c>
      <c r="G177" s="4">
        <v>0</v>
      </c>
      <c r="H177" s="10">
        <v>0.1249</v>
      </c>
      <c r="I177" s="10">
        <v>0.1246</v>
      </c>
      <c r="J177" s="5">
        <v>245076</v>
      </c>
      <c r="K177" s="5">
        <v>12750</v>
      </c>
      <c r="L177" s="5">
        <v>232326</v>
      </c>
      <c r="M177" s="4">
        <v>0.05</v>
      </c>
      <c r="N177" s="2">
        <v>1</v>
      </c>
      <c r="O177" s="5"/>
      <c r="P177" s="5"/>
      <c r="Q177" s="3"/>
      <c r="R177" s="6">
        <f t="shared" si="5"/>
        <v>0</v>
      </c>
    </row>
    <row r="178" spans="1:18" x14ac:dyDescent="0.25">
      <c r="A178" s="2" t="s">
        <v>16</v>
      </c>
      <c r="B178" s="2" t="s">
        <v>545</v>
      </c>
      <c r="C178" s="2" t="s">
        <v>546</v>
      </c>
      <c r="D178" s="2" t="s">
        <v>547</v>
      </c>
      <c r="E178" s="3">
        <v>46014</v>
      </c>
      <c r="F178" s="3">
        <v>46379</v>
      </c>
      <c r="G178" s="4">
        <v>0</v>
      </c>
      <c r="H178" s="10">
        <v>0.1075</v>
      </c>
      <c r="I178" s="10">
        <v>0.1026</v>
      </c>
      <c r="J178" s="5">
        <v>539100</v>
      </c>
      <c r="K178" s="5">
        <v>449100</v>
      </c>
      <c r="L178" s="5">
        <v>90000</v>
      </c>
      <c r="M178" s="4">
        <v>0.83</v>
      </c>
      <c r="N178" s="2">
        <v>1</v>
      </c>
      <c r="O178" s="5"/>
      <c r="P178" s="5"/>
      <c r="Q178" s="3"/>
      <c r="R178" s="6">
        <f t="shared" si="5"/>
        <v>0</v>
      </c>
    </row>
    <row r="179" spans="1:18" x14ac:dyDescent="0.25">
      <c r="A179" s="2" t="s">
        <v>16</v>
      </c>
      <c r="B179" s="2" t="s">
        <v>548</v>
      </c>
      <c r="C179" s="2" t="s">
        <v>549</v>
      </c>
      <c r="D179" s="2" t="s">
        <v>550</v>
      </c>
      <c r="E179" s="3">
        <v>46014</v>
      </c>
      <c r="F179" s="3">
        <v>46379</v>
      </c>
      <c r="G179" s="4">
        <v>0</v>
      </c>
      <c r="H179" s="10">
        <v>0.105</v>
      </c>
      <c r="I179" s="10">
        <v>0.1021</v>
      </c>
      <c r="J179" s="5">
        <v>834674</v>
      </c>
      <c r="K179" s="5">
        <v>531250</v>
      </c>
      <c r="L179" s="5">
        <v>303424</v>
      </c>
      <c r="M179" s="4">
        <v>0.64</v>
      </c>
      <c r="N179" s="2">
        <v>1</v>
      </c>
      <c r="O179" s="5"/>
      <c r="P179" s="5"/>
      <c r="Q179" s="3"/>
      <c r="R179" s="6">
        <f t="shared" si="5"/>
        <v>0</v>
      </c>
    </row>
    <row r="180" spans="1:18" x14ac:dyDescent="0.25">
      <c r="A180" s="2" t="s">
        <v>16</v>
      </c>
      <c r="B180" s="2" t="s">
        <v>551</v>
      </c>
      <c r="C180" s="2" t="s">
        <v>552</v>
      </c>
      <c r="D180" s="2" t="s">
        <v>553</v>
      </c>
      <c r="E180" s="3">
        <v>46020</v>
      </c>
      <c r="F180" s="3">
        <v>46385</v>
      </c>
      <c r="G180" s="4">
        <v>0</v>
      </c>
      <c r="H180" s="10">
        <v>9.5000000000000001E-2</v>
      </c>
      <c r="I180" s="10">
        <v>9.3700000000000006E-2</v>
      </c>
      <c r="J180" s="5">
        <v>450000</v>
      </c>
      <c r="K180" s="5">
        <v>450000</v>
      </c>
      <c r="L180" s="5">
        <v>0</v>
      </c>
      <c r="M180" s="4">
        <v>1</v>
      </c>
      <c r="N180" s="2">
        <v>1</v>
      </c>
      <c r="O180" s="5"/>
      <c r="P180" s="5"/>
      <c r="Q180" s="3"/>
      <c r="R180" s="6">
        <f t="shared" si="5"/>
        <v>0</v>
      </c>
    </row>
    <row r="181" spans="1:18" x14ac:dyDescent="0.25">
      <c r="A181" s="2" t="s">
        <v>16</v>
      </c>
      <c r="B181" s="2" t="s">
        <v>554</v>
      </c>
      <c r="C181" s="2" t="s">
        <v>555</v>
      </c>
      <c r="D181" s="2" t="s">
        <v>556</v>
      </c>
      <c r="E181" s="3">
        <v>46020</v>
      </c>
      <c r="F181" s="3">
        <v>46385</v>
      </c>
      <c r="G181" s="4">
        <v>0</v>
      </c>
      <c r="H181" s="10">
        <v>9.5000000000000001E-2</v>
      </c>
      <c r="I181" s="10">
        <v>9.5000000000000001E-2</v>
      </c>
      <c r="J181" s="5">
        <v>439200</v>
      </c>
      <c r="K181" s="5">
        <v>439200</v>
      </c>
      <c r="L181" s="5">
        <v>0</v>
      </c>
      <c r="M181" s="4">
        <v>1</v>
      </c>
      <c r="N181" s="2">
        <v>1</v>
      </c>
      <c r="O181" s="5"/>
      <c r="P181" s="5"/>
      <c r="Q181" s="3"/>
      <c r="R181" s="6">
        <f t="shared" si="5"/>
        <v>0</v>
      </c>
    </row>
    <row r="182" spans="1:18" x14ac:dyDescent="0.25">
      <c r="A182" s="2" t="s">
        <v>16</v>
      </c>
      <c r="B182" s="2" t="s">
        <v>557</v>
      </c>
      <c r="C182" s="2" t="s">
        <v>558</v>
      </c>
      <c r="D182" s="2" t="s">
        <v>559</v>
      </c>
      <c r="E182" s="3">
        <v>46020</v>
      </c>
      <c r="F182" s="3">
        <v>46385</v>
      </c>
      <c r="G182" s="4">
        <v>0</v>
      </c>
      <c r="H182" s="10">
        <v>0.10249999999999999</v>
      </c>
      <c r="I182" s="10">
        <v>0.1012</v>
      </c>
      <c r="J182" s="5">
        <v>838500</v>
      </c>
      <c r="K182" s="5">
        <v>688500</v>
      </c>
      <c r="L182" s="5">
        <v>150000</v>
      </c>
      <c r="M182" s="4">
        <v>0.82</v>
      </c>
      <c r="N182" s="2">
        <v>1</v>
      </c>
      <c r="O182" s="5"/>
      <c r="P182" s="5"/>
      <c r="Q182" s="3"/>
      <c r="R182" s="6">
        <f t="shared" si="5"/>
        <v>0</v>
      </c>
    </row>
    <row r="183" spans="1:18" x14ac:dyDescent="0.25">
      <c r="A183" s="2" t="s">
        <v>16</v>
      </c>
      <c r="B183" s="2" t="s">
        <v>560</v>
      </c>
      <c r="C183" s="2" t="s">
        <v>561</v>
      </c>
      <c r="D183" s="2" t="s">
        <v>562</v>
      </c>
      <c r="E183" s="3">
        <v>46021</v>
      </c>
      <c r="F183" s="3">
        <v>46386</v>
      </c>
      <c r="G183" s="4">
        <v>0</v>
      </c>
      <c r="H183" s="10">
        <v>0.10249999999999999</v>
      </c>
      <c r="I183" s="10">
        <v>0.1012</v>
      </c>
      <c r="J183" s="5">
        <v>382500</v>
      </c>
      <c r="K183" s="5">
        <v>382500</v>
      </c>
      <c r="L183" s="5">
        <v>0</v>
      </c>
      <c r="M183" s="4">
        <v>1</v>
      </c>
      <c r="N183" s="2">
        <v>1</v>
      </c>
      <c r="O183" s="5"/>
      <c r="P183" s="5"/>
      <c r="Q183" s="3"/>
      <c r="R183" s="6">
        <f t="shared" si="5"/>
        <v>0</v>
      </c>
    </row>
    <row r="184" spans="1:18" x14ac:dyDescent="0.25">
      <c r="A184" s="2" t="s">
        <v>16</v>
      </c>
      <c r="B184" s="2" t="s">
        <v>563</v>
      </c>
      <c r="C184" s="2" t="s">
        <v>564</v>
      </c>
      <c r="D184" s="2" t="s">
        <v>565</v>
      </c>
      <c r="E184" s="3">
        <v>46021</v>
      </c>
      <c r="F184" s="3">
        <v>46386</v>
      </c>
      <c r="G184" s="4">
        <v>0</v>
      </c>
      <c r="H184" s="10">
        <v>0.1099</v>
      </c>
      <c r="I184" s="10">
        <v>0.1031</v>
      </c>
      <c r="J184" s="5">
        <v>95030</v>
      </c>
      <c r="K184" s="5">
        <v>26000</v>
      </c>
      <c r="L184" s="5">
        <v>69030</v>
      </c>
      <c r="M184" s="4">
        <v>0.27</v>
      </c>
      <c r="N184" s="2">
        <v>1</v>
      </c>
      <c r="O184" s="5"/>
      <c r="P184" s="5"/>
      <c r="Q184" s="3"/>
      <c r="R184" s="6">
        <f t="shared" si="5"/>
        <v>0</v>
      </c>
    </row>
    <row r="185" spans="1:18" x14ac:dyDescent="0.25">
      <c r="A185" s="2" t="s">
        <v>16</v>
      </c>
      <c r="B185" s="2" t="s">
        <v>566</v>
      </c>
      <c r="C185" s="2" t="s">
        <v>567</v>
      </c>
      <c r="D185" s="2" t="s">
        <v>568</v>
      </c>
      <c r="E185" s="3">
        <v>46021</v>
      </c>
      <c r="F185" s="3">
        <v>46386</v>
      </c>
      <c r="G185" s="4">
        <v>0.05</v>
      </c>
      <c r="H185" s="10">
        <v>0.11</v>
      </c>
      <c r="I185" s="10">
        <v>0.105</v>
      </c>
      <c r="J185" s="5">
        <v>738097</v>
      </c>
      <c r="K185" s="5">
        <v>738097</v>
      </c>
      <c r="L185" s="5">
        <v>0</v>
      </c>
      <c r="M185" s="4">
        <v>1</v>
      </c>
      <c r="N185" s="2">
        <v>1</v>
      </c>
      <c r="O185" s="5"/>
      <c r="P185" s="5"/>
      <c r="Q185" s="3"/>
      <c r="R185" s="6">
        <f t="shared" si="5"/>
        <v>36904.85</v>
      </c>
    </row>
    <row r="186" spans="1:18" x14ac:dyDescent="0.25">
      <c r="A186" s="2" t="s">
        <v>16</v>
      </c>
      <c r="B186" s="2" t="s">
        <v>569</v>
      </c>
      <c r="C186" s="2" t="s">
        <v>570</v>
      </c>
      <c r="D186" s="2" t="s">
        <v>571</v>
      </c>
      <c r="E186" s="3">
        <v>46021</v>
      </c>
      <c r="F186" s="3">
        <v>46386</v>
      </c>
      <c r="G186" s="4">
        <v>0</v>
      </c>
      <c r="H186" s="10">
        <v>2.2000000000000002E-2</v>
      </c>
      <c r="I186" s="10">
        <v>0.114</v>
      </c>
      <c r="J186" s="5">
        <v>236210</v>
      </c>
      <c r="K186" s="5">
        <v>29000</v>
      </c>
      <c r="L186" s="5">
        <v>207210</v>
      </c>
      <c r="M186" s="4">
        <v>0.12</v>
      </c>
      <c r="N186" s="2">
        <v>1</v>
      </c>
      <c r="O186" s="5"/>
      <c r="P186" s="5"/>
      <c r="Q186" s="3"/>
      <c r="R186" s="6">
        <f t="shared" si="5"/>
        <v>0</v>
      </c>
    </row>
    <row r="187" spans="1:18" x14ac:dyDescent="0.25">
      <c r="A187" s="2" t="s">
        <v>16</v>
      </c>
      <c r="B187" s="2" t="s">
        <v>572</v>
      </c>
      <c r="C187" s="2" t="s">
        <v>573</v>
      </c>
      <c r="D187" s="2" t="s">
        <v>574</v>
      </c>
      <c r="E187" s="3">
        <v>46021</v>
      </c>
      <c r="F187" s="3">
        <v>46386</v>
      </c>
      <c r="G187" s="4">
        <v>0</v>
      </c>
      <c r="H187" s="10">
        <v>0.1075</v>
      </c>
      <c r="I187" s="10">
        <v>0.1026</v>
      </c>
      <c r="J187" s="5">
        <v>231000</v>
      </c>
      <c r="K187" s="5">
        <v>180000</v>
      </c>
      <c r="L187" s="5">
        <v>51000</v>
      </c>
      <c r="M187" s="4">
        <v>0.78</v>
      </c>
      <c r="N187" s="2">
        <v>1</v>
      </c>
      <c r="O187" s="5"/>
      <c r="P187" s="5"/>
      <c r="Q187" s="3"/>
      <c r="R187" s="6">
        <f t="shared" si="5"/>
        <v>0</v>
      </c>
    </row>
    <row r="188" spans="1:18" x14ac:dyDescent="0.25">
      <c r="A188" s="2" t="s">
        <v>16</v>
      </c>
      <c r="B188" s="2" t="s">
        <v>575</v>
      </c>
      <c r="C188" s="2" t="s">
        <v>576</v>
      </c>
      <c r="D188" s="2" t="s">
        <v>577</v>
      </c>
      <c r="E188" s="3">
        <v>46021</v>
      </c>
      <c r="F188" s="3">
        <v>46386</v>
      </c>
      <c r="G188" s="4">
        <v>0</v>
      </c>
      <c r="H188" s="10">
        <v>0.1099</v>
      </c>
      <c r="I188" s="10">
        <v>0.1031</v>
      </c>
      <c r="J188" s="5">
        <v>105300</v>
      </c>
      <c r="K188" s="5">
        <v>47528</v>
      </c>
      <c r="L188" s="5">
        <v>57772</v>
      </c>
      <c r="M188" s="4">
        <v>0.45</v>
      </c>
      <c r="N188" s="2">
        <v>1</v>
      </c>
      <c r="O188" s="5"/>
      <c r="P188" s="5"/>
      <c r="Q188" s="3"/>
      <c r="R188" s="6">
        <f t="shared" si="5"/>
        <v>0</v>
      </c>
    </row>
    <row r="189" spans="1:18" x14ac:dyDescent="0.25">
      <c r="A189" s="2" t="s">
        <v>578</v>
      </c>
      <c r="B189" s="2" t="s">
        <v>579</v>
      </c>
      <c r="C189" s="2" t="s">
        <v>580</v>
      </c>
      <c r="D189" s="2" t="s">
        <v>581</v>
      </c>
      <c r="E189" s="3">
        <v>43241</v>
      </c>
      <c r="F189" s="3">
        <v>43606</v>
      </c>
      <c r="G189" s="4">
        <v>0</v>
      </c>
      <c r="H189" s="10">
        <v>0.12</v>
      </c>
      <c r="I189" s="10">
        <v>0.1</v>
      </c>
      <c r="J189" s="5">
        <v>272000</v>
      </c>
      <c r="K189" s="5">
        <v>242420</v>
      </c>
      <c r="L189" s="5">
        <v>29580</v>
      </c>
      <c r="M189" s="4">
        <v>0.89</v>
      </c>
      <c r="N189" s="2">
        <v>2</v>
      </c>
      <c r="O189" s="5">
        <v>110889</v>
      </c>
      <c r="P189" s="5">
        <v>2720</v>
      </c>
      <c r="Q189" s="3">
        <v>45261</v>
      </c>
      <c r="R189" s="6">
        <f t="shared" si="5"/>
        <v>0</v>
      </c>
    </row>
    <row r="190" spans="1:18" x14ac:dyDescent="0.25">
      <c r="A190" s="2" t="s">
        <v>578</v>
      </c>
      <c r="B190" s="2" t="s">
        <v>582</v>
      </c>
      <c r="C190" s="2" t="s">
        <v>583</v>
      </c>
      <c r="D190" s="2" t="s">
        <v>584</v>
      </c>
      <c r="E190" s="3">
        <v>43384</v>
      </c>
      <c r="F190" s="3">
        <v>43749</v>
      </c>
      <c r="G190" s="4">
        <v>0</v>
      </c>
      <c r="H190" s="10">
        <v>0.11</v>
      </c>
      <c r="I190" s="10">
        <v>9.9900000000000003E-2</v>
      </c>
      <c r="J190" s="5">
        <v>455000</v>
      </c>
      <c r="K190" s="5">
        <v>305150</v>
      </c>
      <c r="L190" s="5">
        <v>149850</v>
      </c>
      <c r="M190" s="4">
        <v>0.67</v>
      </c>
      <c r="N190" s="2">
        <v>3</v>
      </c>
      <c r="O190" s="5">
        <v>104989</v>
      </c>
      <c r="P190" s="5">
        <v>2797</v>
      </c>
      <c r="Q190" s="3">
        <v>44531</v>
      </c>
      <c r="R190" s="6">
        <f t="shared" si="5"/>
        <v>0</v>
      </c>
    </row>
    <row r="191" spans="1:18" x14ac:dyDescent="0.25">
      <c r="A191" s="2" t="s">
        <v>578</v>
      </c>
      <c r="B191" s="2" t="s">
        <v>585</v>
      </c>
      <c r="C191" s="2" t="s">
        <v>586</v>
      </c>
      <c r="D191" s="2" t="s">
        <v>587</v>
      </c>
      <c r="E191" s="3">
        <v>44127</v>
      </c>
      <c r="F191" s="3">
        <v>44492</v>
      </c>
      <c r="G191" s="4">
        <v>0</v>
      </c>
      <c r="H191" s="10">
        <v>9.5000000000000001E-2</v>
      </c>
      <c r="I191" s="10">
        <v>8.7499999999999994E-2</v>
      </c>
      <c r="J191" s="5">
        <v>587250</v>
      </c>
      <c r="K191" s="5">
        <v>582941</v>
      </c>
      <c r="L191" s="5">
        <v>4309</v>
      </c>
      <c r="M191" s="4">
        <v>0.99</v>
      </c>
      <c r="N191" s="2">
        <v>10</v>
      </c>
      <c r="O191" s="5">
        <v>178329</v>
      </c>
      <c r="P191" s="5">
        <v>4615</v>
      </c>
      <c r="Q191" s="3">
        <v>45108</v>
      </c>
      <c r="R191" s="6">
        <f t="shared" si="5"/>
        <v>0</v>
      </c>
    </row>
    <row r="192" spans="1:18" x14ac:dyDescent="0.25">
      <c r="A192" s="2" t="s">
        <v>578</v>
      </c>
      <c r="B192" s="2" t="s">
        <v>588</v>
      </c>
      <c r="C192" s="2" t="s">
        <v>589</v>
      </c>
      <c r="D192" s="2" t="s">
        <v>590</v>
      </c>
      <c r="E192" s="3">
        <v>44158</v>
      </c>
      <c r="F192" s="3">
        <v>45351</v>
      </c>
      <c r="G192" s="4">
        <v>0</v>
      </c>
      <c r="H192" s="10">
        <v>0.1</v>
      </c>
      <c r="I192" s="10">
        <v>8.7499999999999994E-2</v>
      </c>
      <c r="J192" s="5">
        <v>417543</v>
      </c>
      <c r="K192" s="5">
        <v>417543</v>
      </c>
      <c r="L192" s="5">
        <v>0</v>
      </c>
      <c r="M192" s="4">
        <v>1</v>
      </c>
      <c r="N192" s="2">
        <v>16</v>
      </c>
      <c r="O192" s="5">
        <v>17514</v>
      </c>
      <c r="P192" s="5">
        <v>3480</v>
      </c>
      <c r="Q192" s="3">
        <v>45627</v>
      </c>
      <c r="R192" s="6">
        <f t="shared" si="5"/>
        <v>0</v>
      </c>
    </row>
    <row r="193" spans="1:18" x14ac:dyDescent="0.25">
      <c r="A193" s="2" t="s">
        <v>578</v>
      </c>
      <c r="B193" s="2" t="s">
        <v>591</v>
      </c>
      <c r="C193" s="2" t="s">
        <v>592</v>
      </c>
      <c r="D193" s="2" t="s">
        <v>593</v>
      </c>
      <c r="E193" s="3">
        <v>44249</v>
      </c>
      <c r="F193" s="3">
        <v>44614</v>
      </c>
      <c r="G193" s="4">
        <v>0</v>
      </c>
      <c r="H193" s="10">
        <v>0.1</v>
      </c>
      <c r="I193" s="10">
        <v>8.7499999999999994E-2</v>
      </c>
      <c r="J193" s="5">
        <v>198000</v>
      </c>
      <c r="K193" s="5">
        <v>198000</v>
      </c>
      <c r="L193" s="5">
        <v>0</v>
      </c>
      <c r="M193" s="4">
        <v>1</v>
      </c>
      <c r="N193" s="2">
        <v>1</v>
      </c>
      <c r="O193" s="5">
        <v>0</v>
      </c>
      <c r="P193" s="5">
        <v>1712</v>
      </c>
      <c r="Q193" s="3">
        <v>46023</v>
      </c>
      <c r="R193" s="6">
        <f t="shared" ref="R193:R200" si="6">G193*K193</f>
        <v>0</v>
      </c>
    </row>
    <row r="194" spans="1:18" x14ac:dyDescent="0.25">
      <c r="A194" s="2" t="s">
        <v>578</v>
      </c>
      <c r="B194" s="2" t="s">
        <v>594</v>
      </c>
      <c r="C194" s="2" t="s">
        <v>595</v>
      </c>
      <c r="D194" s="2" t="s">
        <v>596</v>
      </c>
      <c r="E194" s="3">
        <v>44286</v>
      </c>
      <c r="F194" s="3">
        <v>44651</v>
      </c>
      <c r="G194" s="4">
        <v>0</v>
      </c>
      <c r="H194" s="10">
        <v>0.1</v>
      </c>
      <c r="I194" s="10">
        <v>8.7499999999999994E-2</v>
      </c>
      <c r="J194" s="5">
        <v>348950</v>
      </c>
      <c r="K194" s="5">
        <v>345151</v>
      </c>
      <c r="L194" s="5">
        <v>3799</v>
      </c>
      <c r="M194" s="4">
        <v>0.99</v>
      </c>
      <c r="N194" s="2">
        <v>6</v>
      </c>
      <c r="O194" s="5">
        <v>20618</v>
      </c>
      <c r="P194" s="5">
        <v>2876</v>
      </c>
      <c r="Q194" s="3">
        <v>46023</v>
      </c>
      <c r="R194" s="6">
        <f t="shared" si="6"/>
        <v>0</v>
      </c>
    </row>
    <row r="195" spans="1:18" x14ac:dyDescent="0.25">
      <c r="A195" s="2" t="s">
        <v>578</v>
      </c>
      <c r="B195" s="2" t="s">
        <v>597</v>
      </c>
      <c r="C195" s="2" t="s">
        <v>598</v>
      </c>
      <c r="D195" s="2" t="s">
        <v>599</v>
      </c>
      <c r="E195" s="3">
        <v>44300</v>
      </c>
      <c r="F195" s="3">
        <v>44665</v>
      </c>
      <c r="G195" s="4">
        <v>0</v>
      </c>
      <c r="H195" s="10">
        <v>9.5000000000000001E-2</v>
      </c>
      <c r="I195" s="10">
        <v>8.7499999999999994E-2</v>
      </c>
      <c r="J195" s="5">
        <v>370300</v>
      </c>
      <c r="K195" s="5">
        <v>368167</v>
      </c>
      <c r="L195" s="5">
        <v>2133</v>
      </c>
      <c r="M195" s="4">
        <v>0.99</v>
      </c>
      <c r="N195" s="2">
        <v>3</v>
      </c>
      <c r="O195" s="5">
        <v>98112</v>
      </c>
      <c r="P195" s="5">
        <v>7363</v>
      </c>
      <c r="Q195" s="3">
        <v>44682</v>
      </c>
      <c r="R195" s="6">
        <f t="shared" si="6"/>
        <v>0</v>
      </c>
    </row>
    <row r="196" spans="1:18" x14ac:dyDescent="0.25">
      <c r="A196" s="2" t="s">
        <v>578</v>
      </c>
      <c r="B196" s="2" t="s">
        <v>600</v>
      </c>
      <c r="C196" s="2" t="s">
        <v>601</v>
      </c>
      <c r="D196" s="2" t="s">
        <v>602</v>
      </c>
      <c r="E196" s="3">
        <v>44336</v>
      </c>
      <c r="F196" s="3">
        <v>45351</v>
      </c>
      <c r="G196" s="4">
        <v>0</v>
      </c>
      <c r="H196" s="10">
        <v>0.1</v>
      </c>
      <c r="I196" s="10">
        <v>8.5000000000000006E-2</v>
      </c>
      <c r="J196" s="5">
        <v>448750</v>
      </c>
      <c r="K196" s="5">
        <v>336488</v>
      </c>
      <c r="L196" s="5">
        <v>112262</v>
      </c>
      <c r="M196" s="4">
        <v>0.75</v>
      </c>
      <c r="N196" s="2">
        <v>8</v>
      </c>
      <c r="O196" s="5">
        <v>45412</v>
      </c>
      <c r="P196" s="5">
        <v>2804</v>
      </c>
      <c r="Q196" s="3">
        <v>45474</v>
      </c>
      <c r="R196" s="6">
        <f t="shared" si="6"/>
        <v>0</v>
      </c>
    </row>
    <row r="197" spans="1:18" x14ac:dyDescent="0.25">
      <c r="A197" s="2" t="s">
        <v>578</v>
      </c>
      <c r="B197" s="2" t="s">
        <v>603</v>
      </c>
      <c r="C197" s="2" t="s">
        <v>604</v>
      </c>
      <c r="D197" s="2" t="s">
        <v>605</v>
      </c>
      <c r="E197" s="3">
        <v>44432</v>
      </c>
      <c r="F197" s="3">
        <v>44797</v>
      </c>
      <c r="G197" s="4">
        <v>0</v>
      </c>
      <c r="H197" s="10">
        <v>0.1</v>
      </c>
      <c r="I197" s="10">
        <v>8.3400000000000002E-2</v>
      </c>
      <c r="J197" s="5">
        <v>189760</v>
      </c>
      <c r="K197" s="5">
        <v>124460</v>
      </c>
      <c r="L197" s="5">
        <v>65300</v>
      </c>
      <c r="M197" s="4">
        <v>0.66</v>
      </c>
      <c r="N197" s="2">
        <v>9</v>
      </c>
      <c r="O197" s="5">
        <v>20851</v>
      </c>
      <c r="P197" s="5">
        <v>1037</v>
      </c>
      <c r="Q197" s="3">
        <v>45261</v>
      </c>
      <c r="R197" s="6">
        <f t="shared" si="6"/>
        <v>0</v>
      </c>
    </row>
    <row r="198" spans="1:18" x14ac:dyDescent="0.25">
      <c r="A198" s="2" t="s">
        <v>578</v>
      </c>
      <c r="B198" s="2" t="s">
        <v>606</v>
      </c>
      <c r="C198" s="2" t="s">
        <v>607</v>
      </c>
      <c r="D198" s="2" t="s">
        <v>608</v>
      </c>
      <c r="E198" s="3">
        <v>44432</v>
      </c>
      <c r="F198" s="3">
        <v>46011</v>
      </c>
      <c r="G198" s="4">
        <v>0</v>
      </c>
      <c r="H198" s="10">
        <v>0.1</v>
      </c>
      <c r="I198" s="10">
        <v>8.3400000000000002E-2</v>
      </c>
      <c r="J198" s="5">
        <v>426010</v>
      </c>
      <c r="K198" s="5">
        <v>426010</v>
      </c>
      <c r="L198" s="5">
        <v>0</v>
      </c>
      <c r="M198" s="4">
        <v>1</v>
      </c>
      <c r="N198" s="2">
        <v>12</v>
      </c>
      <c r="O198" s="5">
        <v>6843</v>
      </c>
      <c r="P198" s="5">
        <v>3668</v>
      </c>
      <c r="Q198" s="3">
        <v>45962</v>
      </c>
      <c r="R198" s="6">
        <f t="shared" si="6"/>
        <v>0</v>
      </c>
    </row>
    <row r="199" spans="1:18" x14ac:dyDescent="0.25">
      <c r="A199" s="2" t="s">
        <v>578</v>
      </c>
      <c r="B199" s="2" t="s">
        <v>609</v>
      </c>
      <c r="C199" s="2" t="s">
        <v>610</v>
      </c>
      <c r="D199" s="2" t="s">
        <v>611</v>
      </c>
      <c r="E199" s="3">
        <v>44475</v>
      </c>
      <c r="F199" s="3">
        <v>44840</v>
      </c>
      <c r="G199" s="4">
        <v>0</v>
      </c>
      <c r="H199" s="10">
        <v>9.5000000000000001E-2</v>
      </c>
      <c r="I199" s="10">
        <v>8.1100000000000005E-2</v>
      </c>
      <c r="J199" s="5">
        <v>487200</v>
      </c>
      <c r="K199" s="5">
        <v>450000</v>
      </c>
      <c r="L199" s="5">
        <v>37200</v>
      </c>
      <c r="M199" s="4">
        <v>0.92</v>
      </c>
      <c r="N199" s="2">
        <v>1</v>
      </c>
      <c r="O199" s="5">
        <v>259150</v>
      </c>
      <c r="P199" s="5">
        <v>9000</v>
      </c>
      <c r="Q199" s="3">
        <v>44682</v>
      </c>
      <c r="R199" s="6">
        <f t="shared" si="6"/>
        <v>0</v>
      </c>
    </row>
    <row r="200" spans="1:18" x14ac:dyDescent="0.25">
      <c r="A200" s="2" t="s">
        <v>578</v>
      </c>
      <c r="B200" s="2" t="s">
        <v>612</v>
      </c>
      <c r="C200" s="2" t="s">
        <v>613</v>
      </c>
      <c r="D200" s="2" t="s">
        <v>614</v>
      </c>
      <c r="E200" s="3">
        <v>44498</v>
      </c>
      <c r="F200" s="3">
        <v>44863</v>
      </c>
      <c r="G200" s="4">
        <v>0</v>
      </c>
      <c r="H200" s="10">
        <v>8.4900000000000003E-2</v>
      </c>
      <c r="I200" s="10">
        <v>7.6999999999999999E-2</v>
      </c>
      <c r="J200" s="5">
        <v>220500</v>
      </c>
      <c r="K200" s="5">
        <v>219500</v>
      </c>
      <c r="L200" s="5">
        <v>1000</v>
      </c>
      <c r="M200" s="4">
        <v>1</v>
      </c>
      <c r="N200" s="2">
        <v>3</v>
      </c>
      <c r="O200" s="5">
        <v>8440</v>
      </c>
      <c r="P200" s="5">
        <v>1553</v>
      </c>
      <c r="Q200" s="3">
        <v>45962</v>
      </c>
      <c r="R200" s="6">
        <f t="shared" si="6"/>
        <v>0</v>
      </c>
    </row>
    <row r="201" spans="1:18" x14ac:dyDescent="0.25">
      <c r="A201" s="2" t="s">
        <v>578</v>
      </c>
      <c r="B201" s="2" t="s">
        <v>615</v>
      </c>
      <c r="C201" s="2" t="s">
        <v>616</v>
      </c>
      <c r="D201" s="2" t="s">
        <v>617</v>
      </c>
      <c r="E201" s="3">
        <v>44687</v>
      </c>
      <c r="F201" s="3">
        <v>45052</v>
      </c>
      <c r="G201" s="4">
        <v>0</v>
      </c>
      <c r="H201" s="10">
        <v>8.9899999999999994E-2</v>
      </c>
      <c r="I201" s="10">
        <v>8.2000000000000003E-2</v>
      </c>
      <c r="J201" s="5">
        <v>490350</v>
      </c>
      <c r="K201" s="5">
        <v>395000</v>
      </c>
      <c r="L201" s="5">
        <v>95350</v>
      </c>
      <c r="M201" s="4">
        <v>0.81</v>
      </c>
      <c r="N201" s="2">
        <v>1</v>
      </c>
      <c r="O201" s="5">
        <v>57211</v>
      </c>
      <c r="P201" s="5">
        <v>3058</v>
      </c>
      <c r="Q201" s="3">
        <v>45078</v>
      </c>
      <c r="R201" s="6">
        <f t="shared" ref="R201:R204" si="7">G201*K201</f>
        <v>0</v>
      </c>
    </row>
    <row r="202" spans="1:18" x14ac:dyDescent="0.25">
      <c r="A202" s="2" t="s">
        <v>578</v>
      </c>
      <c r="B202" s="2" t="s">
        <v>618</v>
      </c>
      <c r="C202" s="2" t="s">
        <v>619</v>
      </c>
      <c r="D202" s="2" t="s">
        <v>620</v>
      </c>
      <c r="E202" s="3">
        <v>44691</v>
      </c>
      <c r="F202" s="3">
        <v>45056</v>
      </c>
      <c r="G202" s="4">
        <v>0</v>
      </c>
      <c r="H202" s="10">
        <v>0.1</v>
      </c>
      <c r="I202" s="10">
        <v>8.8999999999999996E-2</v>
      </c>
      <c r="J202" s="5">
        <v>431681</v>
      </c>
      <c r="K202" s="5">
        <v>382500</v>
      </c>
      <c r="L202" s="5">
        <v>49181</v>
      </c>
      <c r="M202" s="4">
        <v>0.89</v>
      </c>
      <c r="N202" s="2">
        <v>1</v>
      </c>
      <c r="O202" s="5">
        <v>138721</v>
      </c>
      <c r="P202" s="5">
        <v>3188</v>
      </c>
      <c r="Q202" s="3">
        <v>44896</v>
      </c>
      <c r="R202" s="6">
        <f t="shared" si="7"/>
        <v>0</v>
      </c>
    </row>
    <row r="203" spans="1:18" x14ac:dyDescent="0.25">
      <c r="A203" s="2" t="s">
        <v>578</v>
      </c>
      <c r="B203" s="2" t="s">
        <v>621</v>
      </c>
      <c r="C203" s="2" t="s">
        <v>622</v>
      </c>
      <c r="D203" s="2" t="s">
        <v>623</v>
      </c>
      <c r="E203" s="3">
        <v>44705</v>
      </c>
      <c r="F203" s="3">
        <v>45162</v>
      </c>
      <c r="G203" s="4">
        <v>0</v>
      </c>
      <c r="H203" s="10">
        <v>8.9899999999999994E-2</v>
      </c>
      <c r="I203" s="10">
        <v>8.2000000000000003E-2</v>
      </c>
      <c r="J203" s="5">
        <v>351000</v>
      </c>
      <c r="K203" s="5">
        <v>340682</v>
      </c>
      <c r="L203" s="5">
        <v>10318</v>
      </c>
      <c r="M203" s="4">
        <v>0.97</v>
      </c>
      <c r="N203" s="2">
        <v>7</v>
      </c>
      <c r="O203" s="5">
        <v>44063</v>
      </c>
      <c r="P203" s="5">
        <v>2546</v>
      </c>
      <c r="Q203" s="3">
        <v>45139</v>
      </c>
      <c r="R203" s="6">
        <f t="shared" si="7"/>
        <v>0</v>
      </c>
    </row>
    <row r="204" spans="1:18" x14ac:dyDescent="0.25">
      <c r="A204" s="2" t="s">
        <v>578</v>
      </c>
      <c r="B204" s="2" t="s">
        <v>624</v>
      </c>
      <c r="C204" s="2" t="s">
        <v>625</v>
      </c>
      <c r="D204" s="2" t="s">
        <v>626</v>
      </c>
      <c r="E204" s="3">
        <v>44715</v>
      </c>
      <c r="F204" s="3">
        <v>45172</v>
      </c>
      <c r="G204" s="4">
        <v>0</v>
      </c>
      <c r="H204" s="10">
        <v>0.1</v>
      </c>
      <c r="I204" s="10">
        <v>8.8700000000000001E-2</v>
      </c>
      <c r="J204" s="5">
        <v>171800</v>
      </c>
      <c r="K204" s="5">
        <v>171800</v>
      </c>
      <c r="L204" s="5">
        <v>0</v>
      </c>
      <c r="M204" s="4">
        <v>1</v>
      </c>
      <c r="N204" s="2">
        <v>7</v>
      </c>
      <c r="O204" s="5">
        <v>18865</v>
      </c>
      <c r="P204" s="5">
        <v>1479</v>
      </c>
      <c r="Q204" s="3">
        <v>45658</v>
      </c>
      <c r="R204" s="6">
        <f t="shared" si="7"/>
        <v>0</v>
      </c>
    </row>
    <row r="205" spans="1:18" x14ac:dyDescent="0.25">
      <c r="A205" s="2" t="s">
        <v>578</v>
      </c>
      <c r="B205" s="2" t="s">
        <v>627</v>
      </c>
      <c r="C205" s="2" t="s">
        <v>628</v>
      </c>
      <c r="D205" s="2" t="s">
        <v>629</v>
      </c>
      <c r="E205" s="3">
        <v>44725</v>
      </c>
      <c r="F205" s="3">
        <v>45090</v>
      </c>
      <c r="G205" s="4">
        <v>0</v>
      </c>
      <c r="H205" s="10">
        <v>0.1</v>
      </c>
      <c r="I205" s="10">
        <v>8.8999999999999996E-2</v>
      </c>
      <c r="J205" s="5">
        <v>125600</v>
      </c>
      <c r="K205" s="5">
        <v>92752</v>
      </c>
      <c r="L205" s="5">
        <v>32848</v>
      </c>
      <c r="M205" s="4">
        <v>0.74</v>
      </c>
      <c r="N205" s="2">
        <v>12</v>
      </c>
      <c r="O205" s="5">
        <v>0</v>
      </c>
      <c r="P205" s="5">
        <v>1047</v>
      </c>
      <c r="Q205" s="3">
        <v>46023</v>
      </c>
      <c r="R205" s="6">
        <f t="shared" ref="R205:R220" si="8">G205*K205</f>
        <v>0</v>
      </c>
    </row>
    <row r="206" spans="1:18" x14ac:dyDescent="0.25">
      <c r="A206" s="2" t="s">
        <v>578</v>
      </c>
      <c r="B206" s="2" t="s">
        <v>630</v>
      </c>
      <c r="C206" s="2" t="s">
        <v>631</v>
      </c>
      <c r="D206" s="2" t="s">
        <v>632</v>
      </c>
      <c r="E206" s="3">
        <v>44733</v>
      </c>
      <c r="F206" s="3">
        <v>46203</v>
      </c>
      <c r="G206" s="4">
        <v>0</v>
      </c>
      <c r="H206" s="10">
        <v>7.4499999999999997E-2</v>
      </c>
      <c r="I206" s="10">
        <v>7.4499999999999997E-2</v>
      </c>
      <c r="J206" s="5">
        <v>621000</v>
      </c>
      <c r="K206" s="5">
        <v>583500</v>
      </c>
      <c r="L206" s="5">
        <v>37500</v>
      </c>
      <c r="M206" s="4">
        <v>0.94</v>
      </c>
      <c r="N206" s="2">
        <v>4</v>
      </c>
      <c r="O206" s="5">
        <v>0</v>
      </c>
      <c r="P206" s="5">
        <v>4167</v>
      </c>
      <c r="Q206" s="3">
        <v>46023</v>
      </c>
      <c r="R206" s="6">
        <f t="shared" si="8"/>
        <v>0</v>
      </c>
    </row>
    <row r="207" spans="1:18" x14ac:dyDescent="0.25">
      <c r="A207" s="2" t="s">
        <v>578</v>
      </c>
      <c r="B207" s="2" t="s">
        <v>633</v>
      </c>
      <c r="C207" s="2" t="s">
        <v>634</v>
      </c>
      <c r="D207" s="2" t="s">
        <v>635</v>
      </c>
      <c r="E207" s="3">
        <v>44739</v>
      </c>
      <c r="F207" s="3">
        <v>45104</v>
      </c>
      <c r="G207" s="4">
        <v>0</v>
      </c>
      <c r="H207" s="10">
        <v>8.9899999999999994E-2</v>
      </c>
      <c r="I207" s="10">
        <v>8.1699999999999995E-2</v>
      </c>
      <c r="J207" s="5">
        <v>448913</v>
      </c>
      <c r="K207" s="5">
        <v>435564</v>
      </c>
      <c r="L207" s="5">
        <v>13348</v>
      </c>
      <c r="M207" s="4">
        <v>0.97</v>
      </c>
      <c r="N207" s="2">
        <v>4</v>
      </c>
      <c r="O207" s="5">
        <v>11078</v>
      </c>
      <c r="P207" s="5">
        <v>3372</v>
      </c>
      <c r="Q207" s="3">
        <v>45717</v>
      </c>
      <c r="R207" s="6">
        <f t="shared" si="8"/>
        <v>0</v>
      </c>
    </row>
    <row r="208" spans="1:18" x14ac:dyDescent="0.25">
      <c r="A208" s="2" t="s">
        <v>578</v>
      </c>
      <c r="B208" s="2" t="s">
        <v>636</v>
      </c>
      <c r="C208" s="2" t="s">
        <v>637</v>
      </c>
      <c r="D208" s="2" t="s">
        <v>638</v>
      </c>
      <c r="E208" s="3">
        <v>44756</v>
      </c>
      <c r="F208" s="3">
        <v>46173</v>
      </c>
      <c r="G208" s="4">
        <v>0</v>
      </c>
      <c r="H208" s="10">
        <v>8.9899999999999994E-2</v>
      </c>
      <c r="I208" s="10">
        <v>8.6699999999999999E-2</v>
      </c>
      <c r="J208" s="5">
        <v>438090</v>
      </c>
      <c r="K208" s="5">
        <v>400790</v>
      </c>
      <c r="L208" s="5">
        <v>37300</v>
      </c>
      <c r="M208" s="4">
        <v>0.91</v>
      </c>
      <c r="N208" s="2">
        <v>6</v>
      </c>
      <c r="O208" s="5">
        <v>0</v>
      </c>
      <c r="P208" s="5">
        <v>3022</v>
      </c>
      <c r="Q208" s="3">
        <v>46023</v>
      </c>
      <c r="R208" s="6">
        <f t="shared" si="8"/>
        <v>0</v>
      </c>
    </row>
    <row r="209" spans="1:18" x14ac:dyDescent="0.25">
      <c r="A209" s="2" t="s">
        <v>578</v>
      </c>
      <c r="B209" s="2" t="s">
        <v>639</v>
      </c>
      <c r="C209" s="2" t="s">
        <v>640</v>
      </c>
      <c r="D209" s="2" t="s">
        <v>641</v>
      </c>
      <c r="E209" s="3">
        <v>44775</v>
      </c>
      <c r="F209" s="3">
        <v>45140</v>
      </c>
      <c r="G209" s="4">
        <v>0</v>
      </c>
      <c r="H209" s="10">
        <v>8.9899999999999994E-2</v>
      </c>
      <c r="I209" s="10">
        <v>8.9899999999999994E-2</v>
      </c>
      <c r="J209" s="5">
        <v>429100</v>
      </c>
      <c r="K209" s="5">
        <v>394579</v>
      </c>
      <c r="L209" s="5">
        <v>34521</v>
      </c>
      <c r="M209" s="4">
        <v>0.92</v>
      </c>
      <c r="N209" s="2">
        <v>2</v>
      </c>
      <c r="O209" s="5">
        <v>0</v>
      </c>
      <c r="P209" s="5">
        <v>2956</v>
      </c>
      <c r="Q209" s="3">
        <v>46023</v>
      </c>
      <c r="R209" s="6">
        <f t="shared" si="8"/>
        <v>0</v>
      </c>
    </row>
    <row r="210" spans="1:18" x14ac:dyDescent="0.25">
      <c r="A210" s="2" t="s">
        <v>578</v>
      </c>
      <c r="B210" s="2" t="s">
        <v>642</v>
      </c>
      <c r="C210" s="2" t="s">
        <v>643</v>
      </c>
      <c r="D210" s="2" t="s">
        <v>644</v>
      </c>
      <c r="E210" s="3">
        <v>44778</v>
      </c>
      <c r="F210" s="3">
        <v>45143</v>
      </c>
      <c r="G210" s="4">
        <v>0</v>
      </c>
      <c r="H210" s="10">
        <v>9.5000000000000001E-2</v>
      </c>
      <c r="I210" s="10">
        <v>9.5000000000000001E-2</v>
      </c>
      <c r="J210" s="5">
        <v>350550</v>
      </c>
      <c r="K210" s="5">
        <v>350550</v>
      </c>
      <c r="L210" s="5">
        <v>0</v>
      </c>
      <c r="M210" s="4">
        <v>1</v>
      </c>
      <c r="N210" s="2">
        <v>4</v>
      </c>
      <c r="O210" s="5">
        <v>42403</v>
      </c>
      <c r="P210" s="5">
        <v>2868</v>
      </c>
      <c r="Q210" s="3">
        <v>45717</v>
      </c>
      <c r="R210" s="6">
        <f t="shared" si="8"/>
        <v>0</v>
      </c>
    </row>
    <row r="211" spans="1:18" x14ac:dyDescent="0.25">
      <c r="A211" s="2" t="s">
        <v>578</v>
      </c>
      <c r="B211" s="2" t="s">
        <v>645</v>
      </c>
      <c r="C211" s="2" t="s">
        <v>646</v>
      </c>
      <c r="D211" s="2" t="s">
        <v>647</v>
      </c>
      <c r="E211" s="3">
        <v>44820</v>
      </c>
      <c r="F211" s="3">
        <v>46325</v>
      </c>
      <c r="G211" s="4">
        <v>0</v>
      </c>
      <c r="H211" s="10">
        <v>0.105</v>
      </c>
      <c r="I211" s="10">
        <v>0.104</v>
      </c>
      <c r="J211" s="5">
        <v>126630</v>
      </c>
      <c r="K211" s="5">
        <v>10901</v>
      </c>
      <c r="L211" s="5">
        <v>115729</v>
      </c>
      <c r="M211" s="4">
        <v>0.09</v>
      </c>
      <c r="N211" s="2">
        <v>4</v>
      </c>
      <c r="O211" s="5">
        <v>0</v>
      </c>
      <c r="P211" s="5">
        <v>95</v>
      </c>
      <c r="Q211" s="3">
        <v>46023</v>
      </c>
      <c r="R211" s="6">
        <f t="shared" si="8"/>
        <v>0</v>
      </c>
    </row>
    <row r="212" spans="1:18" x14ac:dyDescent="0.25">
      <c r="A212" s="2" t="s">
        <v>578</v>
      </c>
      <c r="B212" s="2" t="s">
        <v>648</v>
      </c>
      <c r="C212" s="2" t="s">
        <v>649</v>
      </c>
      <c r="D212" s="2" t="s">
        <v>650</v>
      </c>
      <c r="E212" s="3">
        <v>44824</v>
      </c>
      <c r="F212" s="3">
        <v>46203</v>
      </c>
      <c r="G212" s="4">
        <v>0</v>
      </c>
      <c r="H212" s="10">
        <v>9.5000000000000001E-2</v>
      </c>
      <c r="I212" s="10">
        <v>9.5000000000000001E-2</v>
      </c>
      <c r="J212" s="5">
        <v>212915</v>
      </c>
      <c r="K212" s="5">
        <v>171116</v>
      </c>
      <c r="L212" s="5">
        <v>41799</v>
      </c>
      <c r="M212" s="4">
        <v>0.8</v>
      </c>
      <c r="N212" s="2">
        <v>4</v>
      </c>
      <c r="O212" s="5">
        <v>0</v>
      </c>
      <c r="P212" s="5">
        <v>1356</v>
      </c>
      <c r="Q212" s="3">
        <v>46023</v>
      </c>
      <c r="R212" s="6">
        <f t="shared" si="8"/>
        <v>0</v>
      </c>
    </row>
    <row r="213" spans="1:18" x14ac:dyDescent="0.25">
      <c r="A213" s="2" t="s">
        <v>578</v>
      </c>
      <c r="B213" s="2" t="s">
        <v>651</v>
      </c>
      <c r="C213" s="2" t="s">
        <v>652</v>
      </c>
      <c r="D213" s="2" t="s">
        <v>653</v>
      </c>
      <c r="E213" s="3">
        <v>44827</v>
      </c>
      <c r="F213" s="3">
        <v>45558</v>
      </c>
      <c r="G213" s="4">
        <v>0</v>
      </c>
      <c r="H213" s="10">
        <v>0.105</v>
      </c>
      <c r="I213" s="10">
        <v>0.104</v>
      </c>
      <c r="J213" s="5">
        <v>728400</v>
      </c>
      <c r="K213" s="5">
        <v>455236</v>
      </c>
      <c r="L213" s="5">
        <v>273164</v>
      </c>
      <c r="M213" s="4">
        <v>0.62</v>
      </c>
      <c r="N213" s="2">
        <v>5</v>
      </c>
      <c r="O213" s="5">
        <v>20049</v>
      </c>
      <c r="P213" s="5">
        <v>3983</v>
      </c>
      <c r="Q213" s="3">
        <v>45627</v>
      </c>
      <c r="R213" s="6">
        <f t="shared" si="8"/>
        <v>0</v>
      </c>
    </row>
    <row r="214" spans="1:18" x14ac:dyDescent="0.25">
      <c r="A214" s="2" t="s">
        <v>578</v>
      </c>
      <c r="B214" s="2" t="s">
        <v>654</v>
      </c>
      <c r="C214" s="2" t="s">
        <v>655</v>
      </c>
      <c r="D214" s="2" t="s">
        <v>656</v>
      </c>
      <c r="E214" s="3">
        <v>44827</v>
      </c>
      <c r="F214" s="13">
        <v>45558</v>
      </c>
      <c r="G214" s="4">
        <v>0</v>
      </c>
      <c r="H214" s="10">
        <v>0.105</v>
      </c>
      <c r="I214" s="10">
        <v>0.104</v>
      </c>
      <c r="J214" s="5">
        <v>722441</v>
      </c>
      <c r="K214" s="5">
        <v>390916</v>
      </c>
      <c r="L214" s="5">
        <v>331525</v>
      </c>
      <c r="M214" s="4">
        <v>0.54</v>
      </c>
      <c r="N214" s="2">
        <v>4</v>
      </c>
      <c r="O214" s="5">
        <v>17697</v>
      </c>
      <c r="P214" s="5">
        <v>3516</v>
      </c>
      <c r="Q214" s="3">
        <v>45627</v>
      </c>
      <c r="R214" s="6">
        <f t="shared" si="8"/>
        <v>0</v>
      </c>
    </row>
    <row r="215" spans="1:18" x14ac:dyDescent="0.25">
      <c r="A215" s="2" t="s">
        <v>578</v>
      </c>
      <c r="B215" s="2" t="s">
        <v>657</v>
      </c>
      <c r="C215" s="2" t="s">
        <v>658</v>
      </c>
      <c r="D215" s="2" t="s">
        <v>656</v>
      </c>
      <c r="E215" s="3">
        <v>44827</v>
      </c>
      <c r="F215" s="3">
        <v>45657</v>
      </c>
      <c r="G215" s="4">
        <v>0</v>
      </c>
      <c r="H215" s="10">
        <v>0.105</v>
      </c>
      <c r="I215" s="10">
        <v>0.104</v>
      </c>
      <c r="J215" s="5">
        <v>728400</v>
      </c>
      <c r="K215" s="5">
        <v>531888</v>
      </c>
      <c r="L215" s="5">
        <v>196512</v>
      </c>
      <c r="M215" s="4">
        <v>0.73</v>
      </c>
      <c r="N215" s="2">
        <v>6</v>
      </c>
      <c r="O215" s="5">
        <v>22851</v>
      </c>
      <c r="P215" s="5">
        <v>4162</v>
      </c>
      <c r="Q215" s="3">
        <v>45627</v>
      </c>
      <c r="R215" s="6">
        <f t="shared" si="8"/>
        <v>0</v>
      </c>
    </row>
    <row r="216" spans="1:18" x14ac:dyDescent="0.25">
      <c r="A216" s="2" t="s">
        <v>578</v>
      </c>
      <c r="B216" s="2" t="s">
        <v>659</v>
      </c>
      <c r="C216" s="2" t="s">
        <v>660</v>
      </c>
      <c r="D216" s="2" t="s">
        <v>656</v>
      </c>
      <c r="E216" s="3">
        <v>44827</v>
      </c>
      <c r="F216" s="3">
        <v>45565</v>
      </c>
      <c r="G216" s="4">
        <v>0</v>
      </c>
      <c r="H216" s="10">
        <v>0.105</v>
      </c>
      <c r="I216" s="10">
        <v>0.104</v>
      </c>
      <c r="J216" s="5">
        <v>752400</v>
      </c>
      <c r="K216" s="5">
        <v>500875</v>
      </c>
      <c r="L216" s="5">
        <v>251525</v>
      </c>
      <c r="M216" s="4">
        <v>0.67</v>
      </c>
      <c r="N216" s="2">
        <v>5</v>
      </c>
      <c r="O216" s="5">
        <v>22059</v>
      </c>
      <c r="P216" s="5">
        <v>4383</v>
      </c>
      <c r="Q216" s="3">
        <v>45627</v>
      </c>
      <c r="R216" s="6">
        <f t="shared" si="8"/>
        <v>0</v>
      </c>
    </row>
    <row r="217" spans="1:18" x14ac:dyDescent="0.25">
      <c r="A217" s="2" t="s">
        <v>578</v>
      </c>
      <c r="B217" s="2" t="s">
        <v>661</v>
      </c>
      <c r="C217" s="2" t="s">
        <v>662</v>
      </c>
      <c r="D217" s="2" t="s">
        <v>656</v>
      </c>
      <c r="E217" s="3">
        <v>44827</v>
      </c>
      <c r="F217" s="3">
        <v>45657</v>
      </c>
      <c r="G217" s="4">
        <v>0</v>
      </c>
      <c r="H217" s="10">
        <v>0.105</v>
      </c>
      <c r="I217" s="10">
        <v>0.104</v>
      </c>
      <c r="J217" s="5">
        <v>722441</v>
      </c>
      <c r="K217" s="5">
        <v>555666</v>
      </c>
      <c r="L217" s="5">
        <v>166775</v>
      </c>
      <c r="M217" s="4">
        <v>0.77</v>
      </c>
      <c r="N217" s="2">
        <v>7</v>
      </c>
      <c r="O217" s="5">
        <v>23888</v>
      </c>
      <c r="P217" s="5">
        <v>4361</v>
      </c>
      <c r="Q217" s="3">
        <v>45627</v>
      </c>
      <c r="R217" s="6">
        <f t="shared" si="8"/>
        <v>0</v>
      </c>
    </row>
    <row r="218" spans="1:18" x14ac:dyDescent="0.25">
      <c r="A218" s="2" t="s">
        <v>578</v>
      </c>
      <c r="B218" s="2" t="s">
        <v>663</v>
      </c>
      <c r="C218" s="2" t="s">
        <v>664</v>
      </c>
      <c r="D218" s="2" t="s">
        <v>665</v>
      </c>
      <c r="E218" s="3">
        <v>44832</v>
      </c>
      <c r="F218" s="3">
        <v>45991</v>
      </c>
      <c r="G218" s="4">
        <v>0</v>
      </c>
      <c r="H218" s="10">
        <v>9.5000000000000001E-2</v>
      </c>
      <c r="I218" s="10">
        <v>9.5000000000000001E-2</v>
      </c>
      <c r="J218" s="5">
        <v>356000</v>
      </c>
      <c r="K218" s="5">
        <v>333217</v>
      </c>
      <c r="L218" s="5">
        <v>22783</v>
      </c>
      <c r="M218" s="4">
        <v>0.94</v>
      </c>
      <c r="N218" s="2">
        <v>7</v>
      </c>
      <c r="O218" s="5">
        <v>0</v>
      </c>
      <c r="P218" s="5">
        <v>2638</v>
      </c>
      <c r="Q218" s="3">
        <v>46023</v>
      </c>
      <c r="R218" s="6">
        <f t="shared" si="8"/>
        <v>0</v>
      </c>
    </row>
    <row r="219" spans="1:18" x14ac:dyDescent="0.25">
      <c r="A219" s="2" t="s">
        <v>578</v>
      </c>
      <c r="B219" s="2" t="s">
        <v>666</v>
      </c>
      <c r="C219" s="2" t="s">
        <v>667</v>
      </c>
      <c r="D219" s="2" t="s">
        <v>668</v>
      </c>
      <c r="E219" s="3">
        <v>44832</v>
      </c>
      <c r="F219" s="3">
        <v>45991</v>
      </c>
      <c r="G219" s="4">
        <v>0</v>
      </c>
      <c r="H219" s="10">
        <v>9.5000000000000001E-2</v>
      </c>
      <c r="I219" s="10">
        <v>9.5000000000000001E-2</v>
      </c>
      <c r="J219" s="5">
        <v>353500</v>
      </c>
      <c r="K219" s="5">
        <v>329351</v>
      </c>
      <c r="L219" s="5">
        <v>24149</v>
      </c>
      <c r="M219" s="4">
        <v>0.93</v>
      </c>
      <c r="N219" s="2">
        <v>7</v>
      </c>
      <c r="O219" s="5">
        <v>0</v>
      </c>
      <c r="P219" s="5">
        <v>2614</v>
      </c>
      <c r="Q219" s="3">
        <v>46023</v>
      </c>
      <c r="R219" s="6">
        <f t="shared" si="8"/>
        <v>0</v>
      </c>
    </row>
    <row r="220" spans="1:18" x14ac:dyDescent="0.25">
      <c r="A220" s="2" t="s">
        <v>578</v>
      </c>
      <c r="B220" s="2" t="s">
        <v>669</v>
      </c>
      <c r="C220" s="2" t="s">
        <v>670</v>
      </c>
      <c r="D220" s="2" t="s">
        <v>671</v>
      </c>
      <c r="E220" s="3">
        <v>44918</v>
      </c>
      <c r="F220" s="3">
        <v>45283</v>
      </c>
      <c r="G220" s="4">
        <v>0</v>
      </c>
      <c r="H220" s="10">
        <v>0.11</v>
      </c>
      <c r="I220" s="10">
        <v>0.109</v>
      </c>
      <c r="J220" s="5">
        <v>622000</v>
      </c>
      <c r="K220" s="5">
        <v>619250</v>
      </c>
      <c r="L220" s="5">
        <v>2750</v>
      </c>
      <c r="M220" s="4">
        <v>1</v>
      </c>
      <c r="N220" s="2">
        <v>13</v>
      </c>
      <c r="O220" s="5">
        <v>80567</v>
      </c>
      <c r="P220" s="5">
        <v>5573</v>
      </c>
      <c r="Q220" s="3">
        <v>45261</v>
      </c>
      <c r="R220" s="6">
        <f t="shared" si="8"/>
        <v>0</v>
      </c>
    </row>
    <row r="221" spans="1:18" x14ac:dyDescent="0.25">
      <c r="A221" s="2" t="s">
        <v>578</v>
      </c>
      <c r="B221" s="2" t="s">
        <v>672</v>
      </c>
      <c r="C221" s="2" t="s">
        <v>673</v>
      </c>
      <c r="D221" s="2" t="s">
        <v>674</v>
      </c>
      <c r="E221" s="3">
        <v>44930</v>
      </c>
      <c r="F221" s="3">
        <v>45295</v>
      </c>
      <c r="G221" s="4">
        <v>0</v>
      </c>
      <c r="H221" s="10">
        <v>0.11</v>
      </c>
      <c r="I221" s="10">
        <v>0.109</v>
      </c>
      <c r="J221" s="5">
        <v>241500</v>
      </c>
      <c r="K221" s="5">
        <v>168423</v>
      </c>
      <c r="L221" s="5">
        <v>73077</v>
      </c>
      <c r="M221" s="4">
        <v>0.7</v>
      </c>
      <c r="N221" s="2">
        <v>4</v>
      </c>
      <c r="O221" s="5">
        <v>8887</v>
      </c>
      <c r="P221" s="5">
        <v>1595</v>
      </c>
      <c r="Q221" s="3">
        <v>45809</v>
      </c>
      <c r="R221" s="6">
        <f t="shared" ref="R221:R233" si="9">G221*K221</f>
        <v>0</v>
      </c>
    </row>
    <row r="222" spans="1:18" x14ac:dyDescent="0.25">
      <c r="A222" s="2" t="s">
        <v>578</v>
      </c>
      <c r="B222" s="2" t="s">
        <v>675</v>
      </c>
      <c r="C222" s="2" t="s">
        <v>676</v>
      </c>
      <c r="D222" s="2" t="s">
        <v>677</v>
      </c>
      <c r="E222" s="3">
        <v>44949</v>
      </c>
      <c r="F222" s="3">
        <v>45314</v>
      </c>
      <c r="G222" s="4">
        <v>0</v>
      </c>
      <c r="H222" s="10">
        <v>0.105</v>
      </c>
      <c r="I222" s="10">
        <v>0.1045</v>
      </c>
      <c r="J222" s="5">
        <v>379050</v>
      </c>
      <c r="K222" s="5">
        <v>310050</v>
      </c>
      <c r="L222" s="5">
        <v>69000</v>
      </c>
      <c r="M222" s="4">
        <v>0.82</v>
      </c>
      <c r="N222" s="2">
        <v>1</v>
      </c>
      <c r="O222" s="5">
        <v>30204</v>
      </c>
      <c r="P222" s="5">
        <v>2803</v>
      </c>
      <c r="Q222" s="3">
        <v>45689</v>
      </c>
      <c r="R222" s="6">
        <f t="shared" si="9"/>
        <v>0</v>
      </c>
    </row>
    <row r="223" spans="1:18" x14ac:dyDescent="0.25">
      <c r="A223" s="2" t="s">
        <v>578</v>
      </c>
      <c r="B223" s="2" t="s">
        <v>678</v>
      </c>
      <c r="C223" s="2" t="s">
        <v>679</v>
      </c>
      <c r="D223" s="2" t="s">
        <v>680</v>
      </c>
      <c r="E223" s="3">
        <v>45002</v>
      </c>
      <c r="F223" s="3">
        <v>45552</v>
      </c>
      <c r="G223" s="4">
        <v>0</v>
      </c>
      <c r="H223" s="10">
        <v>0.11</v>
      </c>
      <c r="I223" s="10">
        <v>0.109</v>
      </c>
      <c r="J223" s="5">
        <v>84000</v>
      </c>
      <c r="K223" s="5">
        <v>84000</v>
      </c>
      <c r="L223" s="5">
        <v>0</v>
      </c>
      <c r="M223" s="4">
        <v>1</v>
      </c>
      <c r="N223" s="2">
        <v>8</v>
      </c>
      <c r="O223" s="5">
        <v>2361</v>
      </c>
      <c r="P223" s="5">
        <v>796</v>
      </c>
      <c r="Q223" s="3">
        <v>45901</v>
      </c>
      <c r="R223" s="6">
        <f t="shared" si="9"/>
        <v>0</v>
      </c>
    </row>
    <row r="224" spans="1:18" x14ac:dyDescent="0.25">
      <c r="A224" s="2" t="s">
        <v>578</v>
      </c>
      <c r="B224" s="2" t="s">
        <v>681</v>
      </c>
      <c r="C224" s="2" t="s">
        <v>682</v>
      </c>
      <c r="D224" s="2" t="s">
        <v>683</v>
      </c>
      <c r="E224" s="3">
        <v>45002</v>
      </c>
      <c r="F224" s="3">
        <v>45777</v>
      </c>
      <c r="G224" s="4">
        <v>0</v>
      </c>
      <c r="H224" s="10">
        <v>0.11</v>
      </c>
      <c r="I224" s="10">
        <v>0.109</v>
      </c>
      <c r="J224" s="5">
        <v>70000</v>
      </c>
      <c r="K224" s="5">
        <v>69080</v>
      </c>
      <c r="L224" s="5">
        <v>920</v>
      </c>
      <c r="M224" s="4">
        <v>0.99</v>
      </c>
      <c r="N224" s="2">
        <v>5</v>
      </c>
      <c r="O224" s="5">
        <v>2023</v>
      </c>
      <c r="P224" s="5">
        <v>642</v>
      </c>
      <c r="Q224" s="3">
        <v>45931</v>
      </c>
      <c r="R224" s="6">
        <f t="shared" si="9"/>
        <v>0</v>
      </c>
    </row>
    <row r="225" spans="1:18" x14ac:dyDescent="0.25">
      <c r="A225" s="2" t="s">
        <v>578</v>
      </c>
      <c r="B225" s="2" t="s">
        <v>684</v>
      </c>
      <c r="C225" s="2" t="s">
        <v>685</v>
      </c>
      <c r="D225" s="2" t="s">
        <v>686</v>
      </c>
      <c r="E225" s="3">
        <v>45002</v>
      </c>
      <c r="F225" s="3">
        <v>45777</v>
      </c>
      <c r="G225" s="4">
        <v>0</v>
      </c>
      <c r="H225" s="10">
        <v>0.11</v>
      </c>
      <c r="I225" s="10">
        <v>0.109</v>
      </c>
      <c r="J225" s="5">
        <v>77000</v>
      </c>
      <c r="K225" s="5">
        <v>75413</v>
      </c>
      <c r="L225" s="5">
        <v>1587</v>
      </c>
      <c r="M225" s="4">
        <v>0.98</v>
      </c>
      <c r="N225" s="2">
        <v>4</v>
      </c>
      <c r="O225" s="5">
        <v>2165</v>
      </c>
      <c r="P225" s="5">
        <v>729</v>
      </c>
      <c r="Q225" s="3">
        <v>45870</v>
      </c>
      <c r="R225" s="6">
        <f t="shared" si="9"/>
        <v>0</v>
      </c>
    </row>
    <row r="226" spans="1:18" x14ac:dyDescent="0.25">
      <c r="A226" s="2" t="s">
        <v>578</v>
      </c>
      <c r="B226" s="2" t="s">
        <v>687</v>
      </c>
      <c r="C226" s="2" t="s">
        <v>688</v>
      </c>
      <c r="D226" s="2" t="s">
        <v>689</v>
      </c>
      <c r="E226" s="3">
        <v>45013</v>
      </c>
      <c r="F226" s="3">
        <v>46234</v>
      </c>
      <c r="G226" s="4">
        <v>0</v>
      </c>
      <c r="H226" s="10">
        <v>0.11</v>
      </c>
      <c r="I226" s="10">
        <v>0.109</v>
      </c>
      <c r="J226" s="5">
        <v>92239</v>
      </c>
      <c r="K226" s="5">
        <v>88725</v>
      </c>
      <c r="L226" s="5">
        <v>3514</v>
      </c>
      <c r="M226" s="4">
        <v>0.96</v>
      </c>
      <c r="N226" s="2">
        <v>4</v>
      </c>
      <c r="O226" s="5">
        <v>0</v>
      </c>
      <c r="P226" s="5">
        <v>846</v>
      </c>
      <c r="Q226" s="3">
        <v>46023</v>
      </c>
      <c r="R226" s="6">
        <f t="shared" si="9"/>
        <v>0</v>
      </c>
    </row>
    <row r="227" spans="1:18" x14ac:dyDescent="0.25">
      <c r="A227" s="2" t="s">
        <v>578</v>
      </c>
      <c r="B227" s="2" t="s">
        <v>690</v>
      </c>
      <c r="C227" s="2" t="s">
        <v>691</v>
      </c>
      <c r="D227" s="2" t="s">
        <v>692</v>
      </c>
      <c r="E227" s="3">
        <v>45015</v>
      </c>
      <c r="F227" s="3">
        <v>46234</v>
      </c>
      <c r="G227" s="4">
        <v>0</v>
      </c>
      <c r="H227" s="10">
        <v>0.11</v>
      </c>
      <c r="I227" s="10">
        <v>0.109</v>
      </c>
      <c r="J227" s="5">
        <v>86953</v>
      </c>
      <c r="K227" s="5">
        <v>86953</v>
      </c>
      <c r="L227" s="5">
        <v>0</v>
      </c>
      <c r="M227" s="4">
        <v>1</v>
      </c>
      <c r="N227" s="2">
        <v>3</v>
      </c>
      <c r="O227" s="5">
        <v>2263</v>
      </c>
      <c r="P227" s="5">
        <v>797</v>
      </c>
      <c r="Q227" s="3">
        <v>45992</v>
      </c>
      <c r="R227" s="6">
        <f t="shared" si="9"/>
        <v>0</v>
      </c>
    </row>
    <row r="228" spans="1:18" x14ac:dyDescent="0.25">
      <c r="A228" s="2" t="s">
        <v>578</v>
      </c>
      <c r="B228" s="2" t="s">
        <v>693</v>
      </c>
      <c r="C228" s="2" t="s">
        <v>694</v>
      </c>
      <c r="D228" s="2" t="s">
        <v>695</v>
      </c>
      <c r="E228" s="3">
        <v>45022</v>
      </c>
      <c r="F228" s="3">
        <v>45388</v>
      </c>
      <c r="G228" s="4">
        <v>0</v>
      </c>
      <c r="H228" s="10">
        <v>0.11</v>
      </c>
      <c r="I228" s="10">
        <v>0.109</v>
      </c>
      <c r="J228" s="5">
        <v>372400</v>
      </c>
      <c r="K228" s="5">
        <v>355917</v>
      </c>
      <c r="L228" s="5">
        <v>16483</v>
      </c>
      <c r="M228" s="4">
        <v>0.96</v>
      </c>
      <c r="N228" s="2">
        <v>8</v>
      </c>
      <c r="O228" s="5">
        <v>388</v>
      </c>
      <c r="P228" s="5">
        <v>3263</v>
      </c>
      <c r="Q228" s="3">
        <v>46023</v>
      </c>
      <c r="R228" s="6">
        <f t="shared" si="9"/>
        <v>0</v>
      </c>
    </row>
    <row r="229" spans="1:18" x14ac:dyDescent="0.25">
      <c r="A229" s="2" t="s">
        <v>578</v>
      </c>
      <c r="B229" s="2" t="s">
        <v>696</v>
      </c>
      <c r="C229" s="2" t="s">
        <v>697</v>
      </c>
      <c r="D229" s="2" t="s">
        <v>698</v>
      </c>
      <c r="E229" s="3">
        <v>45055</v>
      </c>
      <c r="F229" s="3">
        <v>45421</v>
      </c>
      <c r="G229" s="4">
        <v>0</v>
      </c>
      <c r="H229" s="10">
        <v>0.105</v>
      </c>
      <c r="I229" s="10">
        <v>0.1045</v>
      </c>
      <c r="J229" s="5">
        <v>496690</v>
      </c>
      <c r="K229" s="5">
        <v>496690</v>
      </c>
      <c r="L229" s="5">
        <v>0</v>
      </c>
      <c r="M229" s="4">
        <v>1</v>
      </c>
      <c r="N229" s="2">
        <v>1</v>
      </c>
      <c r="O229" s="5">
        <v>8837</v>
      </c>
      <c r="P229" s="5">
        <v>4491</v>
      </c>
      <c r="Q229" s="3">
        <v>45962</v>
      </c>
      <c r="R229" s="6">
        <f t="shared" si="9"/>
        <v>0</v>
      </c>
    </row>
    <row r="230" spans="1:18" x14ac:dyDescent="0.25">
      <c r="A230" s="2" t="s">
        <v>578</v>
      </c>
      <c r="B230" s="2" t="s">
        <v>699</v>
      </c>
      <c r="C230" s="2" t="s">
        <v>700</v>
      </c>
      <c r="D230" s="2" t="s">
        <v>701</v>
      </c>
      <c r="E230" s="3">
        <v>45068</v>
      </c>
      <c r="F230" s="3">
        <v>45526</v>
      </c>
      <c r="G230" s="4">
        <v>0</v>
      </c>
      <c r="H230" s="10">
        <v>0.11</v>
      </c>
      <c r="I230" s="10">
        <v>0.109</v>
      </c>
      <c r="J230" s="5">
        <v>373999</v>
      </c>
      <c r="K230" s="5">
        <v>367979</v>
      </c>
      <c r="L230" s="5">
        <v>6020</v>
      </c>
      <c r="M230" s="4">
        <v>0.98</v>
      </c>
      <c r="N230" s="2">
        <v>11</v>
      </c>
      <c r="O230" s="5">
        <v>6859</v>
      </c>
      <c r="P230" s="5">
        <v>3373</v>
      </c>
      <c r="Q230" s="3">
        <v>45931</v>
      </c>
      <c r="R230" s="6">
        <f t="shared" si="9"/>
        <v>0</v>
      </c>
    </row>
    <row r="231" spans="1:18" x14ac:dyDescent="0.25">
      <c r="A231" s="2" t="s">
        <v>578</v>
      </c>
      <c r="B231" s="2" t="s">
        <v>702</v>
      </c>
      <c r="C231" s="2" t="s">
        <v>703</v>
      </c>
      <c r="D231" s="2" t="s">
        <v>704</v>
      </c>
      <c r="E231" s="3">
        <v>45069</v>
      </c>
      <c r="F231" s="3">
        <v>45435</v>
      </c>
      <c r="G231" s="4">
        <v>0</v>
      </c>
      <c r="H231" s="10">
        <v>0.105</v>
      </c>
      <c r="I231" s="10">
        <v>0.1045</v>
      </c>
      <c r="J231" s="5">
        <v>338310</v>
      </c>
      <c r="K231" s="5">
        <v>338310</v>
      </c>
      <c r="L231" s="5">
        <v>0</v>
      </c>
      <c r="M231" s="4">
        <v>1</v>
      </c>
      <c r="N231" s="2">
        <v>1</v>
      </c>
      <c r="O231" s="5">
        <v>0</v>
      </c>
      <c r="P231" s="5">
        <v>2960</v>
      </c>
      <c r="Q231" s="3">
        <v>46023</v>
      </c>
      <c r="R231" s="6">
        <f t="shared" si="9"/>
        <v>0</v>
      </c>
    </row>
    <row r="232" spans="1:18" x14ac:dyDescent="0.25">
      <c r="A232" s="2" t="s">
        <v>578</v>
      </c>
      <c r="B232" s="2" t="s">
        <v>705</v>
      </c>
      <c r="C232" s="2" t="s">
        <v>706</v>
      </c>
      <c r="D232" s="2" t="s">
        <v>707</v>
      </c>
      <c r="E232" s="3">
        <v>45071</v>
      </c>
      <c r="F232" s="3">
        <v>45437</v>
      </c>
      <c r="G232" s="4">
        <v>0</v>
      </c>
      <c r="H232" s="10">
        <v>0.105</v>
      </c>
      <c r="I232" s="10">
        <v>0.1045</v>
      </c>
      <c r="J232" s="5">
        <v>436200</v>
      </c>
      <c r="K232" s="5">
        <v>434375</v>
      </c>
      <c r="L232" s="5">
        <v>1825</v>
      </c>
      <c r="M232" s="4">
        <v>1</v>
      </c>
      <c r="N232" s="2">
        <v>4</v>
      </c>
      <c r="O232" s="5">
        <v>11656</v>
      </c>
      <c r="P232" s="5">
        <v>3927</v>
      </c>
      <c r="Q232" s="3">
        <v>45870</v>
      </c>
      <c r="R232" s="6">
        <f t="shared" si="9"/>
        <v>0</v>
      </c>
    </row>
    <row r="233" spans="1:18" x14ac:dyDescent="0.25">
      <c r="A233" s="2" t="s">
        <v>578</v>
      </c>
      <c r="B233" s="2" t="s">
        <v>708</v>
      </c>
      <c r="C233" s="2" t="s">
        <v>709</v>
      </c>
      <c r="D233" s="2" t="s">
        <v>710</v>
      </c>
      <c r="E233" s="3">
        <v>45078</v>
      </c>
      <c r="F233" s="3">
        <v>45536</v>
      </c>
      <c r="G233" s="4">
        <v>0</v>
      </c>
      <c r="H233" s="10">
        <v>0.11</v>
      </c>
      <c r="I233" s="10">
        <v>0.109</v>
      </c>
      <c r="J233" s="5">
        <v>446500</v>
      </c>
      <c r="K233" s="5">
        <v>444250</v>
      </c>
      <c r="L233" s="5">
        <v>2250</v>
      </c>
      <c r="M233" s="4">
        <v>1</v>
      </c>
      <c r="N233" s="2">
        <v>2</v>
      </c>
      <c r="O233" s="5">
        <v>29049</v>
      </c>
      <c r="P233" s="5">
        <v>4072</v>
      </c>
      <c r="Q233" s="3">
        <v>45474</v>
      </c>
      <c r="R233" s="6">
        <f t="shared" si="9"/>
        <v>0</v>
      </c>
    </row>
    <row r="234" spans="1:18" x14ac:dyDescent="0.25">
      <c r="A234" s="2" t="s">
        <v>578</v>
      </c>
      <c r="B234" s="2" t="s">
        <v>711</v>
      </c>
      <c r="C234" s="2" t="s">
        <v>712</v>
      </c>
      <c r="D234" s="2" t="s">
        <v>713</v>
      </c>
      <c r="E234" s="3">
        <v>45086</v>
      </c>
      <c r="F234" s="3">
        <v>45452</v>
      </c>
      <c r="G234" s="4">
        <v>0</v>
      </c>
      <c r="H234" s="10">
        <v>0.11</v>
      </c>
      <c r="I234" s="10">
        <v>0.109</v>
      </c>
      <c r="J234" s="5">
        <v>305000</v>
      </c>
      <c r="K234" s="5">
        <v>304800</v>
      </c>
      <c r="L234" s="5">
        <v>200</v>
      </c>
      <c r="M234" s="4">
        <v>1</v>
      </c>
      <c r="N234" s="2">
        <v>11</v>
      </c>
      <c r="O234" s="5">
        <v>6057</v>
      </c>
      <c r="P234" s="5">
        <v>2794</v>
      </c>
      <c r="Q234" s="3">
        <v>45627</v>
      </c>
      <c r="R234" s="6">
        <f t="shared" ref="R234:R249" si="10">G234*K234</f>
        <v>0</v>
      </c>
    </row>
    <row r="235" spans="1:18" x14ac:dyDescent="0.25">
      <c r="A235" s="2" t="s">
        <v>578</v>
      </c>
      <c r="B235" s="2" t="s">
        <v>714</v>
      </c>
      <c r="C235" s="2" t="s">
        <v>715</v>
      </c>
      <c r="D235" s="2" t="s">
        <v>716</v>
      </c>
      <c r="E235" s="3">
        <v>45092</v>
      </c>
      <c r="F235" s="3">
        <v>45458</v>
      </c>
      <c r="G235" s="4">
        <v>0</v>
      </c>
      <c r="H235" s="10">
        <v>0.105</v>
      </c>
      <c r="I235" s="10">
        <v>0.1045</v>
      </c>
      <c r="J235" s="5">
        <v>583600</v>
      </c>
      <c r="K235" s="5">
        <v>580880</v>
      </c>
      <c r="L235" s="5">
        <v>2720</v>
      </c>
      <c r="M235" s="4">
        <v>1</v>
      </c>
      <c r="N235" s="2">
        <v>7</v>
      </c>
      <c r="O235" s="5">
        <v>4000</v>
      </c>
      <c r="P235" s="5">
        <v>5252</v>
      </c>
      <c r="Q235" s="3">
        <v>45992</v>
      </c>
      <c r="R235" s="6">
        <f t="shared" si="10"/>
        <v>0</v>
      </c>
    </row>
    <row r="236" spans="1:18" x14ac:dyDescent="0.25">
      <c r="A236" s="2" t="s">
        <v>578</v>
      </c>
      <c r="B236" s="2" t="s">
        <v>717</v>
      </c>
      <c r="C236" s="2" t="s">
        <v>718</v>
      </c>
      <c r="D236" s="2" t="s">
        <v>719</v>
      </c>
      <c r="E236" s="3">
        <v>45093</v>
      </c>
      <c r="F236" s="3">
        <v>45807</v>
      </c>
      <c r="G236" s="4">
        <v>0</v>
      </c>
      <c r="H236" s="10">
        <v>0.11</v>
      </c>
      <c r="I236" s="10">
        <v>0.109</v>
      </c>
      <c r="J236" s="5">
        <v>385159</v>
      </c>
      <c r="K236" s="5">
        <v>385159</v>
      </c>
      <c r="L236" s="5">
        <v>0</v>
      </c>
      <c r="M236" s="4">
        <v>1</v>
      </c>
      <c r="N236" s="2">
        <v>4</v>
      </c>
      <c r="O236" s="5">
        <v>14358</v>
      </c>
      <c r="P236" s="5">
        <v>3531</v>
      </c>
      <c r="Q236" s="3">
        <v>45839</v>
      </c>
      <c r="R236" s="6">
        <f t="shared" si="10"/>
        <v>0</v>
      </c>
    </row>
    <row r="237" spans="1:18" x14ac:dyDescent="0.25">
      <c r="A237" s="2" t="s">
        <v>578</v>
      </c>
      <c r="B237" s="2" t="s">
        <v>720</v>
      </c>
      <c r="C237" s="2" t="s">
        <v>721</v>
      </c>
      <c r="D237" s="2" t="s">
        <v>722</v>
      </c>
      <c r="E237" s="3">
        <v>45104</v>
      </c>
      <c r="F237" s="3">
        <v>46173</v>
      </c>
      <c r="G237" s="4">
        <v>0</v>
      </c>
      <c r="H237" s="10">
        <v>0.105</v>
      </c>
      <c r="I237" s="10">
        <v>0.1045</v>
      </c>
      <c r="J237" s="5">
        <v>357000</v>
      </c>
      <c r="K237" s="5">
        <v>279000</v>
      </c>
      <c r="L237" s="5">
        <v>78000</v>
      </c>
      <c r="M237" s="4">
        <v>0.78</v>
      </c>
      <c r="N237" s="2">
        <v>1</v>
      </c>
      <c r="O237" s="5">
        <v>0</v>
      </c>
      <c r="P237" s="5">
        <v>2441</v>
      </c>
      <c r="Q237" s="3">
        <v>46023</v>
      </c>
      <c r="R237" s="6">
        <f t="shared" si="10"/>
        <v>0</v>
      </c>
    </row>
    <row r="238" spans="1:18" x14ac:dyDescent="0.25">
      <c r="A238" s="2" t="s">
        <v>578</v>
      </c>
      <c r="B238" s="2" t="s">
        <v>723</v>
      </c>
      <c r="C238" s="2" t="s">
        <v>724</v>
      </c>
      <c r="D238" s="2" t="s">
        <v>725</v>
      </c>
      <c r="E238" s="3">
        <v>45142</v>
      </c>
      <c r="F238" s="3">
        <v>46112</v>
      </c>
      <c r="G238" s="4">
        <v>0</v>
      </c>
      <c r="H238" s="10">
        <v>0.1125</v>
      </c>
      <c r="I238" s="10">
        <v>0.1115</v>
      </c>
      <c r="J238" s="5">
        <v>131744</v>
      </c>
      <c r="K238" s="5">
        <v>115442</v>
      </c>
      <c r="L238" s="5">
        <v>16302</v>
      </c>
      <c r="M238" s="4">
        <v>0.88</v>
      </c>
      <c r="N238" s="2">
        <v>6</v>
      </c>
      <c r="O238" s="5">
        <v>0</v>
      </c>
      <c r="P238" s="5">
        <v>1082</v>
      </c>
      <c r="Q238" s="3">
        <v>46023</v>
      </c>
      <c r="R238" s="6">
        <f t="shared" si="10"/>
        <v>0</v>
      </c>
    </row>
    <row r="239" spans="1:18" x14ac:dyDescent="0.25">
      <c r="A239" s="2" t="s">
        <v>578</v>
      </c>
      <c r="B239" s="2" t="s">
        <v>726</v>
      </c>
      <c r="C239" s="2" t="s">
        <v>727</v>
      </c>
      <c r="D239" s="2" t="s">
        <v>728</v>
      </c>
      <c r="E239" s="3">
        <v>45142</v>
      </c>
      <c r="F239" s="3">
        <v>45508</v>
      </c>
      <c r="G239" s="4">
        <v>0</v>
      </c>
      <c r="H239" s="10">
        <v>0.1075</v>
      </c>
      <c r="I239" s="10">
        <v>0.107</v>
      </c>
      <c r="J239" s="5">
        <v>483100</v>
      </c>
      <c r="K239" s="5">
        <v>360060</v>
      </c>
      <c r="L239" s="5">
        <v>123040</v>
      </c>
      <c r="M239" s="4">
        <v>0.75</v>
      </c>
      <c r="N239" s="2">
        <v>2</v>
      </c>
      <c r="O239" s="5">
        <v>0</v>
      </c>
      <c r="P239" s="5">
        <v>3226</v>
      </c>
      <c r="Q239" s="3">
        <v>46023</v>
      </c>
      <c r="R239" s="6">
        <f t="shared" si="10"/>
        <v>0</v>
      </c>
    </row>
    <row r="240" spans="1:18" x14ac:dyDescent="0.25">
      <c r="A240" s="2" t="s">
        <v>578</v>
      </c>
      <c r="B240" s="2" t="s">
        <v>729</v>
      </c>
      <c r="C240" s="2" t="s">
        <v>730</v>
      </c>
      <c r="D240" s="2" t="s">
        <v>731</v>
      </c>
      <c r="E240" s="3">
        <v>45159</v>
      </c>
      <c r="F240" s="3">
        <v>45899</v>
      </c>
      <c r="G240" s="4">
        <v>0</v>
      </c>
      <c r="H240" s="10">
        <v>0.1125</v>
      </c>
      <c r="I240" s="10">
        <v>0.1115</v>
      </c>
      <c r="J240" s="5">
        <v>68886</v>
      </c>
      <c r="K240" s="5">
        <v>68886</v>
      </c>
      <c r="L240" s="5">
        <v>0</v>
      </c>
      <c r="M240" s="4">
        <v>1</v>
      </c>
      <c r="N240" s="2">
        <v>2</v>
      </c>
      <c r="O240" s="5">
        <v>0</v>
      </c>
      <c r="P240" s="5">
        <v>646</v>
      </c>
      <c r="Q240" s="3">
        <v>46023</v>
      </c>
      <c r="R240" s="6">
        <f t="shared" si="10"/>
        <v>0</v>
      </c>
    </row>
    <row r="241" spans="1:18" x14ac:dyDescent="0.25">
      <c r="A241" s="2" t="s">
        <v>578</v>
      </c>
      <c r="B241" s="2" t="s">
        <v>732</v>
      </c>
      <c r="C241" s="2" t="s">
        <v>733</v>
      </c>
      <c r="D241" s="2" t="s">
        <v>734</v>
      </c>
      <c r="E241" s="3">
        <v>45170</v>
      </c>
      <c r="F241" s="3">
        <v>45838</v>
      </c>
      <c r="G241" s="4">
        <v>0</v>
      </c>
      <c r="H241" s="10">
        <v>0.11</v>
      </c>
      <c r="I241" s="10">
        <v>0.10920000000000001</v>
      </c>
      <c r="J241" s="5">
        <v>119510</v>
      </c>
      <c r="K241" s="5">
        <v>88771</v>
      </c>
      <c r="L241" s="5">
        <v>30739</v>
      </c>
      <c r="M241" s="4">
        <v>0.74</v>
      </c>
      <c r="N241" s="2">
        <v>5</v>
      </c>
      <c r="O241" s="5">
        <v>0</v>
      </c>
      <c r="P241" s="5">
        <v>1132</v>
      </c>
      <c r="Q241" s="3">
        <v>45992</v>
      </c>
      <c r="R241" s="6">
        <f t="shared" si="10"/>
        <v>0</v>
      </c>
    </row>
    <row r="242" spans="1:18" x14ac:dyDescent="0.25">
      <c r="A242" s="2" t="s">
        <v>578</v>
      </c>
      <c r="B242" s="2" t="s">
        <v>735</v>
      </c>
      <c r="C242" s="2" t="s">
        <v>736</v>
      </c>
      <c r="D242" s="2" t="s">
        <v>737</v>
      </c>
      <c r="E242" s="3">
        <v>45177</v>
      </c>
      <c r="F242" s="3">
        <v>45543</v>
      </c>
      <c r="G242" s="4">
        <v>0</v>
      </c>
      <c r="H242" s="10">
        <v>0.1125</v>
      </c>
      <c r="I242" s="10">
        <v>0.1115</v>
      </c>
      <c r="J242" s="5">
        <v>517000</v>
      </c>
      <c r="K242" s="5">
        <v>517000</v>
      </c>
      <c r="L242" s="5">
        <v>0</v>
      </c>
      <c r="M242" s="4">
        <v>1</v>
      </c>
      <c r="N242" s="2">
        <v>1</v>
      </c>
      <c r="O242" s="5">
        <v>68826</v>
      </c>
      <c r="P242" s="5">
        <v>5008</v>
      </c>
      <c r="Q242" s="3">
        <v>45597</v>
      </c>
      <c r="R242" s="6">
        <f t="shared" si="10"/>
        <v>0</v>
      </c>
    </row>
    <row r="243" spans="1:18" x14ac:dyDescent="0.25">
      <c r="A243" s="2" t="s">
        <v>578</v>
      </c>
      <c r="B243" s="2" t="s">
        <v>738</v>
      </c>
      <c r="C243" s="2" t="s">
        <v>739</v>
      </c>
      <c r="D243" s="2" t="s">
        <v>740</v>
      </c>
      <c r="E243" s="3">
        <v>45182</v>
      </c>
      <c r="F243" s="3">
        <v>45807</v>
      </c>
      <c r="G243" s="4">
        <v>0</v>
      </c>
      <c r="H243" s="10">
        <v>0.1125</v>
      </c>
      <c r="I243" s="10">
        <v>0.1115</v>
      </c>
      <c r="J243" s="5">
        <v>167000</v>
      </c>
      <c r="K243" s="5">
        <v>166878</v>
      </c>
      <c r="L243" s="5">
        <v>122</v>
      </c>
      <c r="M243" s="4">
        <v>1</v>
      </c>
      <c r="N243" s="2">
        <v>6</v>
      </c>
      <c r="O243" s="5">
        <v>7979</v>
      </c>
      <c r="P243" s="5">
        <v>1617</v>
      </c>
      <c r="Q243" s="3">
        <v>45809</v>
      </c>
      <c r="R243" s="6">
        <f t="shared" si="10"/>
        <v>0</v>
      </c>
    </row>
    <row r="244" spans="1:18" x14ac:dyDescent="0.25">
      <c r="A244" s="2" t="s">
        <v>578</v>
      </c>
      <c r="B244" s="2" t="s">
        <v>741</v>
      </c>
      <c r="C244" s="2" t="s">
        <v>742</v>
      </c>
      <c r="D244" s="2" t="s">
        <v>743</v>
      </c>
      <c r="E244" s="3">
        <v>45191</v>
      </c>
      <c r="F244" s="3">
        <v>45557</v>
      </c>
      <c r="G244" s="4">
        <v>0</v>
      </c>
      <c r="H244" s="10">
        <v>0.1125</v>
      </c>
      <c r="I244" s="10">
        <v>0.1115</v>
      </c>
      <c r="J244" s="5">
        <v>101800</v>
      </c>
      <c r="K244" s="5">
        <v>90585</v>
      </c>
      <c r="L244" s="5">
        <v>11215</v>
      </c>
      <c r="M244" s="4">
        <v>0.89</v>
      </c>
      <c r="N244" s="2">
        <v>15</v>
      </c>
      <c r="O244" s="5">
        <v>849</v>
      </c>
      <c r="P244" s="5">
        <v>849</v>
      </c>
      <c r="Q244" s="3">
        <v>45992</v>
      </c>
      <c r="R244" s="6">
        <f t="shared" si="10"/>
        <v>0</v>
      </c>
    </row>
    <row r="245" spans="1:18" x14ac:dyDescent="0.25">
      <c r="A245" s="2" t="s">
        <v>578</v>
      </c>
      <c r="B245" s="2" t="s">
        <v>744</v>
      </c>
      <c r="C245" s="2" t="s">
        <v>745</v>
      </c>
      <c r="D245" s="2" t="s">
        <v>746</v>
      </c>
      <c r="E245" s="3">
        <v>45195</v>
      </c>
      <c r="F245" s="3">
        <v>45652</v>
      </c>
      <c r="G245" s="4">
        <v>0</v>
      </c>
      <c r="H245" s="10">
        <v>0.11</v>
      </c>
      <c r="I245" s="10">
        <v>0.109</v>
      </c>
      <c r="J245" s="5">
        <v>182750</v>
      </c>
      <c r="K245" s="5">
        <v>182750</v>
      </c>
      <c r="L245" s="5">
        <v>0</v>
      </c>
      <c r="M245" s="4">
        <v>1</v>
      </c>
      <c r="N245" s="2">
        <v>10</v>
      </c>
      <c r="O245" s="5">
        <v>20382</v>
      </c>
      <c r="P245" s="5">
        <v>1731</v>
      </c>
      <c r="Q245" s="3">
        <v>45658</v>
      </c>
      <c r="R245" s="6">
        <f t="shared" si="10"/>
        <v>0</v>
      </c>
    </row>
    <row r="246" spans="1:18" x14ac:dyDescent="0.25">
      <c r="A246" s="2" t="s">
        <v>578</v>
      </c>
      <c r="B246" s="2" t="s">
        <v>747</v>
      </c>
      <c r="C246" s="2" t="s">
        <v>748</v>
      </c>
      <c r="D246" s="2" t="s">
        <v>749</v>
      </c>
      <c r="E246" s="3">
        <v>45197</v>
      </c>
      <c r="F246" s="3">
        <v>46295</v>
      </c>
      <c r="G246" s="4">
        <v>0</v>
      </c>
      <c r="H246" s="10">
        <v>0.11</v>
      </c>
      <c r="I246" s="10">
        <v>0.10970000000000001</v>
      </c>
      <c r="J246" s="5">
        <v>331160</v>
      </c>
      <c r="K246" s="5">
        <v>60000</v>
      </c>
      <c r="L246" s="5">
        <v>271160</v>
      </c>
      <c r="M246" s="4">
        <v>0.18</v>
      </c>
      <c r="N246" s="2">
        <v>1</v>
      </c>
      <c r="O246" s="5">
        <v>0</v>
      </c>
      <c r="P246" s="5">
        <v>550</v>
      </c>
      <c r="Q246" s="3">
        <v>46023</v>
      </c>
      <c r="R246" s="6">
        <f t="shared" si="10"/>
        <v>0</v>
      </c>
    </row>
    <row r="247" spans="1:18" x14ac:dyDescent="0.25">
      <c r="A247" s="2" t="s">
        <v>578</v>
      </c>
      <c r="B247" s="2" t="s">
        <v>750</v>
      </c>
      <c r="C247" s="2" t="s">
        <v>751</v>
      </c>
      <c r="D247" s="2" t="s">
        <v>752</v>
      </c>
      <c r="E247" s="3">
        <v>45217</v>
      </c>
      <c r="F247" s="3">
        <v>45583</v>
      </c>
      <c r="G247" s="4">
        <v>0</v>
      </c>
      <c r="H247" s="10">
        <v>0.11</v>
      </c>
      <c r="I247" s="10">
        <v>0.10920000000000001</v>
      </c>
      <c r="J247" s="5">
        <v>486100</v>
      </c>
      <c r="K247" s="5">
        <v>483275</v>
      </c>
      <c r="L247" s="5">
        <v>2825</v>
      </c>
      <c r="M247" s="4">
        <v>0.99</v>
      </c>
      <c r="N247" s="2">
        <v>6</v>
      </c>
      <c r="O247" s="5">
        <v>13585</v>
      </c>
      <c r="P247" s="5">
        <v>4578</v>
      </c>
      <c r="Q247" s="3">
        <v>45597</v>
      </c>
      <c r="R247" s="6">
        <f t="shared" si="10"/>
        <v>0</v>
      </c>
    </row>
    <row r="248" spans="1:18" x14ac:dyDescent="0.25">
      <c r="A248" s="2" t="s">
        <v>578</v>
      </c>
      <c r="B248" s="2" t="s">
        <v>753</v>
      </c>
      <c r="C248" s="2" t="s">
        <v>754</v>
      </c>
      <c r="D248" s="2" t="s">
        <v>755</v>
      </c>
      <c r="E248" s="3">
        <v>45219</v>
      </c>
      <c r="F248" s="3">
        <v>45950</v>
      </c>
      <c r="G248" s="4">
        <v>0</v>
      </c>
      <c r="H248" s="10">
        <v>0.1125</v>
      </c>
      <c r="I248" s="10">
        <v>0.1115</v>
      </c>
      <c r="J248" s="5">
        <v>104600</v>
      </c>
      <c r="K248" s="5">
        <v>104600</v>
      </c>
      <c r="L248" s="5">
        <v>0</v>
      </c>
      <c r="M248" s="4">
        <v>1</v>
      </c>
      <c r="N248" s="2">
        <v>7</v>
      </c>
      <c r="O248" s="5">
        <v>3007</v>
      </c>
      <c r="P248" s="5">
        <v>1013</v>
      </c>
      <c r="Q248" s="3">
        <v>45901</v>
      </c>
      <c r="R248" s="6">
        <f t="shared" si="10"/>
        <v>0</v>
      </c>
    </row>
    <row r="249" spans="1:18" x14ac:dyDescent="0.25">
      <c r="A249" s="2" t="s">
        <v>578</v>
      </c>
      <c r="B249" s="2" t="s">
        <v>756</v>
      </c>
      <c r="C249" s="2" t="s">
        <v>757</v>
      </c>
      <c r="D249" s="2" t="s">
        <v>758</v>
      </c>
      <c r="E249" s="3">
        <v>45219</v>
      </c>
      <c r="F249" s="3">
        <v>45585</v>
      </c>
      <c r="G249" s="4">
        <v>0</v>
      </c>
      <c r="H249" s="10">
        <v>0.1125</v>
      </c>
      <c r="I249" s="10">
        <v>0.1115</v>
      </c>
      <c r="J249" s="5">
        <v>196000</v>
      </c>
      <c r="K249" s="5">
        <v>196000</v>
      </c>
      <c r="L249" s="5">
        <v>0</v>
      </c>
      <c r="M249" s="4">
        <v>1</v>
      </c>
      <c r="N249" s="2">
        <v>4</v>
      </c>
      <c r="O249" s="5">
        <v>0</v>
      </c>
      <c r="P249" s="5">
        <v>1718</v>
      </c>
      <c r="Q249" s="3">
        <v>46023</v>
      </c>
      <c r="R249" s="6">
        <f t="shared" si="10"/>
        <v>0</v>
      </c>
    </row>
    <row r="250" spans="1:18" x14ac:dyDescent="0.25">
      <c r="A250" s="2" t="s">
        <v>578</v>
      </c>
      <c r="B250" s="2" t="s">
        <v>759</v>
      </c>
      <c r="C250" s="2" t="s">
        <v>760</v>
      </c>
      <c r="D250" s="2" t="s">
        <v>761</v>
      </c>
      <c r="E250" s="3">
        <v>45225</v>
      </c>
      <c r="F250" s="3">
        <v>45591</v>
      </c>
      <c r="G250" s="4">
        <v>0</v>
      </c>
      <c r="H250" s="10">
        <v>0.1125</v>
      </c>
      <c r="I250" s="10">
        <v>0.1115</v>
      </c>
      <c r="J250" s="5">
        <v>251500</v>
      </c>
      <c r="K250" s="5">
        <v>166500</v>
      </c>
      <c r="L250" s="5">
        <v>85000</v>
      </c>
      <c r="M250" s="4">
        <v>0.66</v>
      </c>
      <c r="N250" s="2">
        <v>1</v>
      </c>
      <c r="O250" s="5">
        <v>1583</v>
      </c>
      <c r="P250" s="5">
        <v>1561</v>
      </c>
      <c r="Q250" s="3">
        <v>45992</v>
      </c>
      <c r="R250" s="6">
        <f t="shared" ref="R250:R258" si="11">G250*K250</f>
        <v>0</v>
      </c>
    </row>
    <row r="251" spans="1:18" x14ac:dyDescent="0.25">
      <c r="A251" s="2" t="s">
        <v>578</v>
      </c>
      <c r="B251" s="2" t="s">
        <v>762</v>
      </c>
      <c r="C251" s="2" t="s">
        <v>763</v>
      </c>
      <c r="D251" s="2" t="s">
        <v>764</v>
      </c>
      <c r="E251" s="3">
        <v>45225</v>
      </c>
      <c r="F251" s="3">
        <v>45773</v>
      </c>
      <c r="G251" s="4">
        <v>0</v>
      </c>
      <c r="H251" s="10">
        <v>0.1125</v>
      </c>
      <c r="I251" s="10">
        <v>0.1115</v>
      </c>
      <c r="J251" s="5">
        <v>348000</v>
      </c>
      <c r="K251" s="5">
        <v>243000</v>
      </c>
      <c r="L251" s="5">
        <v>105000</v>
      </c>
      <c r="M251" s="4">
        <v>0.7</v>
      </c>
      <c r="N251" s="2">
        <v>1</v>
      </c>
      <c r="O251" s="5">
        <v>0</v>
      </c>
      <c r="P251" s="5">
        <v>2278</v>
      </c>
      <c r="Q251" s="3">
        <v>46023</v>
      </c>
      <c r="R251" s="6">
        <f t="shared" si="11"/>
        <v>0</v>
      </c>
    </row>
    <row r="252" spans="1:18" x14ac:dyDescent="0.25">
      <c r="A252" s="2" t="s">
        <v>578</v>
      </c>
      <c r="B252" s="2" t="s">
        <v>765</v>
      </c>
      <c r="C252" s="2" t="s">
        <v>766</v>
      </c>
      <c r="D252" s="2" t="s">
        <v>755</v>
      </c>
      <c r="E252" s="3">
        <v>45226</v>
      </c>
      <c r="F252" s="3">
        <v>45957</v>
      </c>
      <c r="G252" s="4">
        <v>0</v>
      </c>
      <c r="H252" s="10">
        <v>0.1125</v>
      </c>
      <c r="I252" s="10">
        <v>0.1115</v>
      </c>
      <c r="J252" s="5">
        <v>89288</v>
      </c>
      <c r="K252" s="5">
        <v>87388</v>
      </c>
      <c r="L252" s="5">
        <v>1900</v>
      </c>
      <c r="M252" s="4">
        <v>0.98</v>
      </c>
      <c r="N252" s="2">
        <v>5</v>
      </c>
      <c r="O252" s="5">
        <v>2567</v>
      </c>
      <c r="P252" s="5">
        <v>865</v>
      </c>
      <c r="Q252" s="3">
        <v>45901</v>
      </c>
      <c r="R252" s="6">
        <f t="shared" si="11"/>
        <v>0</v>
      </c>
    </row>
    <row r="253" spans="1:18" x14ac:dyDescent="0.25">
      <c r="A253" s="2" t="s">
        <v>578</v>
      </c>
      <c r="B253" s="2" t="s">
        <v>767</v>
      </c>
      <c r="C253" s="2" t="s">
        <v>768</v>
      </c>
      <c r="D253" s="2" t="s">
        <v>769</v>
      </c>
      <c r="E253" s="3">
        <v>45260</v>
      </c>
      <c r="F253" s="3">
        <v>46022</v>
      </c>
      <c r="G253" s="4">
        <v>0</v>
      </c>
      <c r="H253" s="10">
        <v>0.1075</v>
      </c>
      <c r="I253" s="10">
        <v>0.107</v>
      </c>
      <c r="J253" s="5">
        <v>1203500</v>
      </c>
      <c r="K253" s="5">
        <v>847100</v>
      </c>
      <c r="L253" s="5">
        <v>356400</v>
      </c>
      <c r="M253" s="4">
        <v>0.7</v>
      </c>
      <c r="N253" s="2">
        <v>8</v>
      </c>
      <c r="O253" s="5">
        <v>9665</v>
      </c>
      <c r="P253" s="5">
        <v>7589</v>
      </c>
      <c r="Q253" s="3">
        <v>45992</v>
      </c>
      <c r="R253" s="6">
        <f t="shared" si="11"/>
        <v>0</v>
      </c>
    </row>
    <row r="254" spans="1:18" x14ac:dyDescent="0.25">
      <c r="A254" s="2" t="s">
        <v>578</v>
      </c>
      <c r="B254" s="2" t="s">
        <v>770</v>
      </c>
      <c r="C254" s="2" t="s">
        <v>771</v>
      </c>
      <c r="D254" s="2" t="s">
        <v>772</v>
      </c>
      <c r="E254" s="3">
        <v>45275</v>
      </c>
      <c r="F254" s="3">
        <v>46007</v>
      </c>
      <c r="G254" s="4">
        <v>0</v>
      </c>
      <c r="H254" s="10">
        <v>0.1125</v>
      </c>
      <c r="I254" s="10">
        <v>0.1125</v>
      </c>
      <c r="J254" s="5">
        <v>179311</v>
      </c>
      <c r="K254" s="5">
        <v>143141</v>
      </c>
      <c r="L254" s="5">
        <v>36170</v>
      </c>
      <c r="M254" s="4">
        <v>0.8</v>
      </c>
      <c r="N254" s="2">
        <v>5</v>
      </c>
      <c r="O254" s="5">
        <v>0</v>
      </c>
      <c r="P254" s="5">
        <v>1342</v>
      </c>
      <c r="Q254" s="3">
        <v>46023</v>
      </c>
      <c r="R254" s="6">
        <f t="shared" si="11"/>
        <v>0</v>
      </c>
    </row>
    <row r="255" spans="1:18" x14ac:dyDescent="0.25">
      <c r="A255" s="2" t="s">
        <v>578</v>
      </c>
      <c r="B255" s="2" t="s">
        <v>773</v>
      </c>
      <c r="C255" s="2" t="s">
        <v>774</v>
      </c>
      <c r="D255" s="2" t="s">
        <v>775</v>
      </c>
      <c r="E255" s="3">
        <v>45280</v>
      </c>
      <c r="F255" s="3">
        <v>45646</v>
      </c>
      <c r="G255" s="4">
        <v>0</v>
      </c>
      <c r="H255" s="10">
        <v>0.1125</v>
      </c>
      <c r="I255" s="10">
        <v>0.1115</v>
      </c>
      <c r="J255" s="5">
        <v>83150</v>
      </c>
      <c r="K255" s="5">
        <v>20525</v>
      </c>
      <c r="L255" s="5">
        <v>62625</v>
      </c>
      <c r="M255" s="4">
        <v>0.25</v>
      </c>
      <c r="N255" s="2">
        <v>3</v>
      </c>
      <c r="O255" s="5">
        <v>3976</v>
      </c>
      <c r="P255" s="5">
        <v>806</v>
      </c>
      <c r="Q255" s="3">
        <v>45536</v>
      </c>
      <c r="R255" s="6">
        <f t="shared" si="11"/>
        <v>0</v>
      </c>
    </row>
    <row r="256" spans="1:18" x14ac:dyDescent="0.25">
      <c r="A256" s="2" t="s">
        <v>578</v>
      </c>
      <c r="B256" s="2" t="s">
        <v>776</v>
      </c>
      <c r="C256" s="2" t="s">
        <v>777</v>
      </c>
      <c r="D256" s="2" t="s">
        <v>778</v>
      </c>
      <c r="E256" s="3">
        <v>45302</v>
      </c>
      <c r="F256" s="3">
        <v>45668</v>
      </c>
      <c r="G256" s="4">
        <v>0</v>
      </c>
      <c r="H256" s="10">
        <v>0.1075</v>
      </c>
      <c r="I256" s="10">
        <v>0.107</v>
      </c>
      <c r="J256" s="5">
        <v>297000</v>
      </c>
      <c r="K256" s="5">
        <v>252000</v>
      </c>
      <c r="L256" s="5">
        <v>45000</v>
      </c>
      <c r="M256" s="4">
        <v>0.85</v>
      </c>
      <c r="N256" s="2">
        <v>1</v>
      </c>
      <c r="O256" s="5">
        <v>0</v>
      </c>
      <c r="P256" s="5">
        <v>2258</v>
      </c>
      <c r="Q256" s="3">
        <v>46023</v>
      </c>
      <c r="R256" s="6">
        <f t="shared" si="11"/>
        <v>0</v>
      </c>
    </row>
    <row r="257" spans="1:18" x14ac:dyDescent="0.25">
      <c r="A257" s="2" t="s">
        <v>578</v>
      </c>
      <c r="B257" s="2" t="s">
        <v>779</v>
      </c>
      <c r="C257" s="2" t="s">
        <v>780</v>
      </c>
      <c r="D257" s="2" t="s">
        <v>781</v>
      </c>
      <c r="E257" s="3">
        <v>45317</v>
      </c>
      <c r="F257" s="3">
        <v>45683</v>
      </c>
      <c r="G257" s="4">
        <v>0</v>
      </c>
      <c r="H257" s="10">
        <v>0.1125</v>
      </c>
      <c r="I257" s="10">
        <v>0.1125</v>
      </c>
      <c r="J257" s="5">
        <v>96600</v>
      </c>
      <c r="K257" s="5">
        <v>88225</v>
      </c>
      <c r="L257" s="5">
        <v>8375</v>
      </c>
      <c r="M257" s="4">
        <v>0.91</v>
      </c>
      <c r="N257" s="2">
        <v>2</v>
      </c>
      <c r="O257" s="5">
        <v>827</v>
      </c>
      <c r="P257" s="5">
        <v>827</v>
      </c>
      <c r="Q257" s="3">
        <v>45992</v>
      </c>
      <c r="R257" s="6">
        <f t="shared" si="11"/>
        <v>0</v>
      </c>
    </row>
    <row r="258" spans="1:18" x14ac:dyDescent="0.25">
      <c r="A258" s="2" t="s">
        <v>578</v>
      </c>
      <c r="B258" s="2" t="s">
        <v>782</v>
      </c>
      <c r="C258" s="2" t="s">
        <v>783</v>
      </c>
      <c r="D258" s="2" t="s">
        <v>784</v>
      </c>
      <c r="E258" s="3">
        <v>45322</v>
      </c>
      <c r="F258" s="3">
        <v>46142</v>
      </c>
      <c r="G258" s="4">
        <v>0</v>
      </c>
      <c r="H258" s="10">
        <v>0.1075</v>
      </c>
      <c r="I258" s="10">
        <v>0.1075</v>
      </c>
      <c r="J258" s="5">
        <v>441000</v>
      </c>
      <c r="K258" s="5">
        <v>441000</v>
      </c>
      <c r="L258" s="5">
        <v>0</v>
      </c>
      <c r="M258" s="4">
        <v>1</v>
      </c>
      <c r="N258" s="2">
        <v>1</v>
      </c>
      <c r="O258" s="5">
        <v>3951</v>
      </c>
      <c r="P258" s="5">
        <v>3951</v>
      </c>
      <c r="Q258" s="3">
        <v>45992</v>
      </c>
      <c r="R258" s="6">
        <f t="shared" si="11"/>
        <v>0</v>
      </c>
    </row>
    <row r="259" spans="1:18" x14ac:dyDescent="0.25">
      <c r="A259" s="2" t="s">
        <v>578</v>
      </c>
      <c r="B259" s="2" t="s">
        <v>785</v>
      </c>
      <c r="C259" s="2" t="s">
        <v>786</v>
      </c>
      <c r="D259" s="2" t="s">
        <v>787</v>
      </c>
      <c r="E259" s="3">
        <v>45355</v>
      </c>
      <c r="F259" s="3">
        <v>45720</v>
      </c>
      <c r="G259" s="4">
        <v>0</v>
      </c>
      <c r="H259" s="10">
        <v>0.1075</v>
      </c>
      <c r="I259" s="10">
        <v>0.1075</v>
      </c>
      <c r="J259" s="5">
        <v>432000</v>
      </c>
      <c r="K259" s="5">
        <v>432000</v>
      </c>
      <c r="L259" s="5">
        <v>0</v>
      </c>
      <c r="M259" s="4">
        <v>1</v>
      </c>
      <c r="N259" s="2">
        <v>1</v>
      </c>
      <c r="O259" s="5">
        <v>0</v>
      </c>
      <c r="P259" s="5">
        <v>3870</v>
      </c>
      <c r="Q259" s="3">
        <v>46023</v>
      </c>
      <c r="R259" s="6">
        <f t="shared" ref="R259:R279" si="12">G259*K259</f>
        <v>0</v>
      </c>
    </row>
    <row r="260" spans="1:18" x14ac:dyDescent="0.25">
      <c r="A260" s="2" t="s">
        <v>578</v>
      </c>
      <c r="B260" s="2" t="s">
        <v>788</v>
      </c>
      <c r="C260" s="2" t="s">
        <v>789</v>
      </c>
      <c r="D260" s="2" t="s">
        <v>790</v>
      </c>
      <c r="E260" s="3">
        <v>45357</v>
      </c>
      <c r="F260" s="3">
        <v>46173</v>
      </c>
      <c r="G260" s="4">
        <v>0</v>
      </c>
      <c r="H260" s="10">
        <v>0.1125</v>
      </c>
      <c r="I260" s="10">
        <v>0.1125</v>
      </c>
      <c r="J260" s="5">
        <v>342500</v>
      </c>
      <c r="K260" s="5">
        <v>243000</v>
      </c>
      <c r="L260" s="5">
        <v>99500</v>
      </c>
      <c r="M260" s="4">
        <v>0.71</v>
      </c>
      <c r="N260" s="2">
        <v>1</v>
      </c>
      <c r="O260" s="5">
        <v>0</v>
      </c>
      <c r="P260" s="5">
        <v>2278</v>
      </c>
      <c r="Q260" s="3">
        <v>46023</v>
      </c>
      <c r="R260" s="6">
        <f t="shared" si="12"/>
        <v>0</v>
      </c>
    </row>
    <row r="261" spans="1:18" x14ac:dyDescent="0.25">
      <c r="A261" s="2" t="s">
        <v>578</v>
      </c>
      <c r="B261" s="2" t="s">
        <v>791</v>
      </c>
      <c r="C261" s="2" t="s">
        <v>792</v>
      </c>
      <c r="D261" s="2" t="s">
        <v>793</v>
      </c>
      <c r="E261" s="3">
        <v>45366</v>
      </c>
      <c r="F261" s="3">
        <v>45731</v>
      </c>
      <c r="G261" s="4">
        <v>0</v>
      </c>
      <c r="H261" s="10">
        <v>0.10249999999999999</v>
      </c>
      <c r="I261" s="10">
        <v>0.10249999999999999</v>
      </c>
      <c r="J261" s="5">
        <v>588000</v>
      </c>
      <c r="K261" s="5">
        <v>588000</v>
      </c>
      <c r="L261" s="5">
        <v>0</v>
      </c>
      <c r="M261" s="4">
        <v>1</v>
      </c>
      <c r="N261" s="2">
        <v>3</v>
      </c>
      <c r="O261" s="5">
        <v>51</v>
      </c>
      <c r="P261" s="5">
        <v>5022</v>
      </c>
      <c r="Q261" s="3">
        <v>46023</v>
      </c>
      <c r="R261" s="6">
        <f t="shared" si="12"/>
        <v>0</v>
      </c>
    </row>
    <row r="262" spans="1:18" x14ac:dyDescent="0.25">
      <c r="A262" s="2" t="s">
        <v>578</v>
      </c>
      <c r="B262" s="2" t="s">
        <v>794</v>
      </c>
      <c r="C262" s="2" t="s">
        <v>795</v>
      </c>
      <c r="D262" s="2" t="s">
        <v>796</v>
      </c>
      <c r="E262" s="3">
        <v>45369</v>
      </c>
      <c r="F262" s="3">
        <v>46449</v>
      </c>
      <c r="G262" s="4">
        <v>0</v>
      </c>
      <c r="H262" s="10">
        <v>0.1125</v>
      </c>
      <c r="I262" s="10">
        <v>0.1125</v>
      </c>
      <c r="J262" s="5">
        <v>174175</v>
      </c>
      <c r="K262" s="5">
        <v>142425</v>
      </c>
      <c r="L262" s="5">
        <v>31750</v>
      </c>
      <c r="M262" s="4">
        <v>0.82</v>
      </c>
      <c r="N262" s="2">
        <v>1</v>
      </c>
      <c r="O262" s="5">
        <v>0</v>
      </c>
      <c r="P262" s="5">
        <v>1335</v>
      </c>
      <c r="Q262" s="3">
        <v>46023</v>
      </c>
      <c r="R262" s="6">
        <f t="shared" si="12"/>
        <v>0</v>
      </c>
    </row>
    <row r="263" spans="1:18" x14ac:dyDescent="0.25">
      <c r="A263" s="2" t="s">
        <v>578</v>
      </c>
      <c r="B263" s="2" t="s">
        <v>797</v>
      </c>
      <c r="C263" s="2" t="s">
        <v>798</v>
      </c>
      <c r="D263" s="2" t="s">
        <v>799</v>
      </c>
      <c r="E263" s="3">
        <v>45371</v>
      </c>
      <c r="F263" s="3">
        <v>45736</v>
      </c>
      <c r="G263" s="4">
        <v>0</v>
      </c>
      <c r="H263" s="10">
        <v>0.1125</v>
      </c>
      <c r="I263" s="10">
        <v>0.1125</v>
      </c>
      <c r="J263" s="5">
        <v>419650</v>
      </c>
      <c r="K263" s="5">
        <v>413878</v>
      </c>
      <c r="L263" s="5">
        <v>5772</v>
      </c>
      <c r="M263" s="4">
        <v>0.99</v>
      </c>
      <c r="N263" s="2">
        <v>3</v>
      </c>
      <c r="O263" s="5">
        <v>0</v>
      </c>
      <c r="P263" s="5">
        <v>3880</v>
      </c>
      <c r="Q263" s="3">
        <v>46023</v>
      </c>
      <c r="R263" s="6">
        <f t="shared" si="12"/>
        <v>0</v>
      </c>
    </row>
    <row r="264" spans="1:18" x14ac:dyDescent="0.25">
      <c r="A264" s="2" t="s">
        <v>578</v>
      </c>
      <c r="B264" s="2" t="s">
        <v>800</v>
      </c>
      <c r="C264" s="2" t="s">
        <v>801</v>
      </c>
      <c r="D264" s="2" t="s">
        <v>802</v>
      </c>
      <c r="E264" s="3">
        <v>45377</v>
      </c>
      <c r="F264" s="3">
        <v>45742</v>
      </c>
      <c r="G264" s="4">
        <v>0</v>
      </c>
      <c r="H264" s="10">
        <v>0.1125</v>
      </c>
      <c r="I264" s="10">
        <v>0.1125</v>
      </c>
      <c r="J264" s="5">
        <v>184120</v>
      </c>
      <c r="K264" s="5">
        <v>184120</v>
      </c>
      <c r="L264" s="5">
        <v>0</v>
      </c>
      <c r="M264" s="4">
        <v>1</v>
      </c>
      <c r="N264" s="2">
        <v>2</v>
      </c>
      <c r="O264" s="5">
        <v>0</v>
      </c>
      <c r="P264" s="5">
        <v>1726</v>
      </c>
      <c r="Q264" s="3">
        <v>46023</v>
      </c>
      <c r="R264" s="6">
        <f t="shared" si="12"/>
        <v>0</v>
      </c>
    </row>
    <row r="265" spans="1:18" x14ac:dyDescent="0.25">
      <c r="A265" s="2" t="s">
        <v>578</v>
      </c>
      <c r="B265" s="2" t="s">
        <v>803</v>
      </c>
      <c r="C265" s="2" t="s">
        <v>804</v>
      </c>
      <c r="D265" s="2" t="s">
        <v>805</v>
      </c>
      <c r="E265" s="3">
        <v>45378</v>
      </c>
      <c r="F265" s="3">
        <v>46295</v>
      </c>
      <c r="G265" s="4">
        <v>0</v>
      </c>
      <c r="H265" s="10">
        <v>0.1125</v>
      </c>
      <c r="I265" s="10">
        <v>0.1125</v>
      </c>
      <c r="J265" s="5">
        <v>269000</v>
      </c>
      <c r="K265" s="5">
        <v>135000</v>
      </c>
      <c r="L265" s="5">
        <v>134000</v>
      </c>
      <c r="M265" s="4">
        <v>0.5</v>
      </c>
      <c r="N265" s="2">
        <v>1</v>
      </c>
      <c r="O265" s="5">
        <v>0</v>
      </c>
      <c r="P265" s="5">
        <v>1266</v>
      </c>
      <c r="Q265" s="3">
        <v>46023</v>
      </c>
      <c r="R265" s="6">
        <f t="shared" si="12"/>
        <v>0</v>
      </c>
    </row>
    <row r="266" spans="1:18" x14ac:dyDescent="0.25">
      <c r="A266" s="2" t="s">
        <v>578</v>
      </c>
      <c r="B266" s="2" t="s">
        <v>806</v>
      </c>
      <c r="C266" s="2" t="s">
        <v>807</v>
      </c>
      <c r="D266" s="2" t="s">
        <v>808</v>
      </c>
      <c r="E266" s="3">
        <v>45384</v>
      </c>
      <c r="F266" s="3">
        <v>45932</v>
      </c>
      <c r="G266" s="4">
        <v>0</v>
      </c>
      <c r="H266" s="10">
        <v>0.11</v>
      </c>
      <c r="I266" s="10">
        <v>0.11</v>
      </c>
      <c r="J266" s="5">
        <v>459000</v>
      </c>
      <c r="K266" s="5">
        <v>459000</v>
      </c>
      <c r="L266" s="5">
        <v>0</v>
      </c>
      <c r="M266" s="4">
        <v>1</v>
      </c>
      <c r="N266" s="2">
        <v>1</v>
      </c>
      <c r="O266" s="5">
        <v>17111</v>
      </c>
      <c r="P266" s="5">
        <v>4348</v>
      </c>
      <c r="Q266" s="3">
        <v>45901</v>
      </c>
      <c r="R266" s="6">
        <f t="shared" si="12"/>
        <v>0</v>
      </c>
    </row>
    <row r="267" spans="1:18" x14ac:dyDescent="0.25">
      <c r="A267" s="2" t="s">
        <v>578</v>
      </c>
      <c r="B267" s="2" t="s">
        <v>809</v>
      </c>
      <c r="C267" s="2" t="s">
        <v>810</v>
      </c>
      <c r="D267" s="2" t="s">
        <v>811</v>
      </c>
      <c r="E267" s="3">
        <v>45404</v>
      </c>
      <c r="F267" s="3">
        <v>45769</v>
      </c>
      <c r="G267" s="4">
        <v>0</v>
      </c>
      <c r="H267" s="10">
        <v>0.1125</v>
      </c>
      <c r="I267" s="10">
        <v>0.1125</v>
      </c>
      <c r="J267" s="5">
        <v>211500</v>
      </c>
      <c r="K267" s="5">
        <v>194775</v>
      </c>
      <c r="L267" s="5">
        <v>16725</v>
      </c>
      <c r="M267" s="4">
        <v>0.92</v>
      </c>
      <c r="N267" s="2">
        <v>4</v>
      </c>
      <c r="O267" s="5">
        <v>11139</v>
      </c>
      <c r="P267" s="5">
        <v>1826</v>
      </c>
      <c r="Q267" s="3">
        <v>45778</v>
      </c>
      <c r="R267" s="6">
        <f t="shared" si="12"/>
        <v>0</v>
      </c>
    </row>
    <row r="268" spans="1:18" x14ac:dyDescent="0.25">
      <c r="A268" s="2" t="s">
        <v>578</v>
      </c>
      <c r="B268" s="2" t="s">
        <v>812</v>
      </c>
      <c r="C268" s="2" t="s">
        <v>813</v>
      </c>
      <c r="D268" s="2" t="s">
        <v>814</v>
      </c>
      <c r="E268" s="3">
        <v>45415</v>
      </c>
      <c r="F268" s="3">
        <v>46325</v>
      </c>
      <c r="G268" s="4">
        <v>0</v>
      </c>
      <c r="H268" s="10">
        <v>0.1125</v>
      </c>
      <c r="I268" s="10">
        <v>0.1125</v>
      </c>
      <c r="J268" s="5">
        <v>118800</v>
      </c>
      <c r="K268" s="5">
        <v>118800</v>
      </c>
      <c r="L268" s="5">
        <v>0</v>
      </c>
      <c r="M268" s="4">
        <v>1</v>
      </c>
      <c r="N268" s="2">
        <v>1</v>
      </c>
      <c r="O268" s="5">
        <v>660</v>
      </c>
      <c r="P268" s="5">
        <v>1114</v>
      </c>
      <c r="Q268" s="3">
        <v>45992</v>
      </c>
      <c r="R268" s="6">
        <f t="shared" si="12"/>
        <v>0</v>
      </c>
    </row>
    <row r="269" spans="1:18" x14ac:dyDescent="0.25">
      <c r="A269" s="2" t="s">
        <v>578</v>
      </c>
      <c r="B269" s="2" t="s">
        <v>815</v>
      </c>
      <c r="C269" s="2" t="s">
        <v>816</v>
      </c>
      <c r="D269" s="2" t="s">
        <v>817</v>
      </c>
      <c r="E269" s="3">
        <v>45418</v>
      </c>
      <c r="F269" s="3">
        <v>45783</v>
      </c>
      <c r="G269" s="4">
        <v>0</v>
      </c>
      <c r="H269" s="10">
        <v>0.1125</v>
      </c>
      <c r="I269" s="10">
        <v>0.1125</v>
      </c>
      <c r="J269" s="5">
        <v>378000</v>
      </c>
      <c r="K269" s="5">
        <v>346800</v>
      </c>
      <c r="L269" s="5">
        <v>31200</v>
      </c>
      <c r="M269" s="4">
        <v>0.92</v>
      </c>
      <c r="N269" s="2">
        <v>1</v>
      </c>
      <c r="O269" s="5">
        <v>0</v>
      </c>
      <c r="P269" s="5">
        <v>3251</v>
      </c>
      <c r="Q269" s="3">
        <v>46023</v>
      </c>
      <c r="R269" s="6">
        <f t="shared" si="12"/>
        <v>0</v>
      </c>
    </row>
    <row r="270" spans="1:18" x14ac:dyDescent="0.25">
      <c r="A270" s="2" t="s">
        <v>578</v>
      </c>
      <c r="B270" s="2" t="s">
        <v>818</v>
      </c>
      <c r="C270" s="2" t="s">
        <v>819</v>
      </c>
      <c r="D270" s="2" t="s">
        <v>820</v>
      </c>
      <c r="E270" s="3">
        <v>45419</v>
      </c>
      <c r="F270" s="3">
        <v>46325</v>
      </c>
      <c r="G270" s="4">
        <v>0</v>
      </c>
      <c r="H270" s="10">
        <v>0.1125</v>
      </c>
      <c r="I270" s="10">
        <v>0.1125</v>
      </c>
      <c r="J270" s="5">
        <v>154510</v>
      </c>
      <c r="K270" s="5">
        <v>136850</v>
      </c>
      <c r="L270" s="5">
        <v>17660</v>
      </c>
      <c r="M270" s="4">
        <v>0.89</v>
      </c>
      <c r="N270" s="2">
        <v>4</v>
      </c>
      <c r="O270" s="5">
        <v>2897</v>
      </c>
      <c r="P270" s="5">
        <v>1497</v>
      </c>
      <c r="Q270" s="3">
        <v>45962</v>
      </c>
      <c r="R270" s="6">
        <f t="shared" si="12"/>
        <v>0</v>
      </c>
    </row>
    <row r="271" spans="1:18" x14ac:dyDescent="0.25">
      <c r="A271" s="2" t="s">
        <v>578</v>
      </c>
      <c r="B271" s="2" t="s">
        <v>821</v>
      </c>
      <c r="C271" s="2" t="s">
        <v>822</v>
      </c>
      <c r="D271" s="2" t="s">
        <v>823</v>
      </c>
      <c r="E271" s="3">
        <v>45432</v>
      </c>
      <c r="F271" s="3">
        <v>45981</v>
      </c>
      <c r="G271" s="4">
        <v>0</v>
      </c>
      <c r="H271" s="10">
        <v>0.1125</v>
      </c>
      <c r="I271" s="10">
        <v>0.1125</v>
      </c>
      <c r="J271" s="5">
        <v>212590</v>
      </c>
      <c r="K271" s="5">
        <v>76678</v>
      </c>
      <c r="L271" s="5">
        <v>135912</v>
      </c>
      <c r="M271" s="4">
        <v>0.36</v>
      </c>
      <c r="N271" s="2">
        <v>4</v>
      </c>
      <c r="O271" s="5">
        <v>0</v>
      </c>
      <c r="P271" s="5">
        <v>719</v>
      </c>
      <c r="Q271" s="3">
        <v>46023</v>
      </c>
      <c r="R271" s="6">
        <f t="shared" si="12"/>
        <v>0</v>
      </c>
    </row>
    <row r="272" spans="1:18" x14ac:dyDescent="0.25">
      <c r="A272" s="2" t="s">
        <v>578</v>
      </c>
      <c r="B272" s="2" t="s">
        <v>824</v>
      </c>
      <c r="C272" s="2" t="s">
        <v>825</v>
      </c>
      <c r="D272" s="2" t="s">
        <v>826</v>
      </c>
      <c r="E272" s="3">
        <v>45446</v>
      </c>
      <c r="F272" s="3">
        <v>46360</v>
      </c>
      <c r="G272" s="4">
        <v>0</v>
      </c>
      <c r="H272" s="10">
        <v>0.11</v>
      </c>
      <c r="I272" s="10">
        <v>0.109</v>
      </c>
      <c r="J272" s="5">
        <v>195000</v>
      </c>
      <c r="K272" s="5">
        <v>195000</v>
      </c>
      <c r="L272" s="5">
        <v>0</v>
      </c>
      <c r="M272" s="4">
        <v>1</v>
      </c>
      <c r="N272" s="2">
        <v>1</v>
      </c>
      <c r="O272" s="5">
        <v>0</v>
      </c>
      <c r="P272" s="5">
        <v>1788</v>
      </c>
      <c r="Q272" s="3">
        <v>46023</v>
      </c>
      <c r="R272" s="6">
        <f t="shared" si="12"/>
        <v>0</v>
      </c>
    </row>
    <row r="273" spans="1:18" x14ac:dyDescent="0.25">
      <c r="A273" s="2" t="s">
        <v>578</v>
      </c>
      <c r="B273" s="2" t="s">
        <v>827</v>
      </c>
      <c r="C273" s="2" t="s">
        <v>828</v>
      </c>
      <c r="D273" s="2" t="s">
        <v>829</v>
      </c>
      <c r="E273" s="3">
        <v>45447</v>
      </c>
      <c r="F273" s="3">
        <v>46360</v>
      </c>
      <c r="G273" s="4">
        <v>0</v>
      </c>
      <c r="H273" s="10">
        <v>0.1125</v>
      </c>
      <c r="I273" s="10">
        <v>0.1115</v>
      </c>
      <c r="J273" s="5">
        <v>231000</v>
      </c>
      <c r="K273" s="5">
        <v>192570</v>
      </c>
      <c r="L273" s="5">
        <v>38430</v>
      </c>
      <c r="M273" s="4">
        <v>0.83</v>
      </c>
      <c r="N273" s="2">
        <v>5</v>
      </c>
      <c r="O273" s="5">
        <v>0</v>
      </c>
      <c r="P273" s="5">
        <v>1805</v>
      </c>
      <c r="Q273" s="3">
        <v>46023</v>
      </c>
      <c r="R273" s="6">
        <f t="shared" si="12"/>
        <v>0</v>
      </c>
    </row>
    <row r="274" spans="1:18" x14ac:dyDescent="0.25">
      <c r="A274" s="2" t="s">
        <v>578</v>
      </c>
      <c r="B274" s="2" t="s">
        <v>830</v>
      </c>
      <c r="C274" s="2" t="s">
        <v>831</v>
      </c>
      <c r="D274" s="2" t="s">
        <v>832</v>
      </c>
      <c r="E274" s="3">
        <v>45450</v>
      </c>
      <c r="F274" s="3">
        <v>45907</v>
      </c>
      <c r="G274" s="4">
        <v>0</v>
      </c>
      <c r="H274" s="10">
        <v>0.1075</v>
      </c>
      <c r="I274" s="10">
        <v>0.1065</v>
      </c>
      <c r="J274" s="5">
        <v>1194800</v>
      </c>
      <c r="K274" s="5">
        <v>948140</v>
      </c>
      <c r="L274" s="5">
        <v>246660</v>
      </c>
      <c r="M274" s="4">
        <v>0.79</v>
      </c>
      <c r="N274" s="2">
        <v>2</v>
      </c>
      <c r="O274" s="5">
        <v>8777</v>
      </c>
      <c r="P274" s="5">
        <v>8777</v>
      </c>
      <c r="Q274" s="3">
        <v>45901</v>
      </c>
      <c r="R274" s="6">
        <f t="shared" si="12"/>
        <v>0</v>
      </c>
    </row>
    <row r="275" spans="1:18" x14ac:dyDescent="0.25">
      <c r="A275" s="2" t="s">
        <v>578</v>
      </c>
      <c r="B275" s="2" t="s">
        <v>833</v>
      </c>
      <c r="C275" s="2" t="s">
        <v>834</v>
      </c>
      <c r="D275" s="2" t="s">
        <v>835</v>
      </c>
      <c r="E275" s="3">
        <v>45450</v>
      </c>
      <c r="F275" s="3">
        <v>46180</v>
      </c>
      <c r="G275" s="4">
        <v>0</v>
      </c>
      <c r="H275" s="10">
        <v>0.11</v>
      </c>
      <c r="I275" s="10">
        <v>0.109</v>
      </c>
      <c r="J275" s="5">
        <v>182000</v>
      </c>
      <c r="K275" s="5">
        <v>181120</v>
      </c>
      <c r="L275" s="5">
        <v>880</v>
      </c>
      <c r="M275" s="4">
        <v>1</v>
      </c>
      <c r="N275" s="2">
        <v>4</v>
      </c>
      <c r="O275" s="5">
        <v>3431</v>
      </c>
      <c r="P275" s="5">
        <v>1716</v>
      </c>
      <c r="Q275" s="3">
        <v>45962</v>
      </c>
      <c r="R275" s="6">
        <f t="shared" si="12"/>
        <v>0</v>
      </c>
    </row>
    <row r="276" spans="1:18" x14ac:dyDescent="0.25">
      <c r="A276" s="2" t="s">
        <v>578</v>
      </c>
      <c r="B276" s="2" t="s">
        <v>836</v>
      </c>
      <c r="C276" s="2" t="s">
        <v>837</v>
      </c>
      <c r="D276" s="2" t="s">
        <v>838</v>
      </c>
      <c r="E276" s="3">
        <v>45450</v>
      </c>
      <c r="F276" s="3">
        <v>45815</v>
      </c>
      <c r="G276" s="4">
        <v>0</v>
      </c>
      <c r="H276" s="10">
        <v>0.11</v>
      </c>
      <c r="I276" s="10">
        <v>0.109</v>
      </c>
      <c r="J276" s="5">
        <v>486900</v>
      </c>
      <c r="K276" s="5">
        <v>486900</v>
      </c>
      <c r="L276" s="5">
        <v>0</v>
      </c>
      <c r="M276" s="4">
        <v>1</v>
      </c>
      <c r="N276" s="2">
        <v>1</v>
      </c>
      <c r="O276" s="5">
        <v>4463</v>
      </c>
      <c r="P276" s="5">
        <v>4463</v>
      </c>
      <c r="Q276" s="3">
        <v>45992</v>
      </c>
      <c r="R276" s="6">
        <f t="shared" si="12"/>
        <v>0</v>
      </c>
    </row>
    <row r="277" spans="1:18" x14ac:dyDescent="0.25">
      <c r="A277" s="2" t="s">
        <v>578</v>
      </c>
      <c r="B277" s="2" t="s">
        <v>839</v>
      </c>
      <c r="C277" s="2" t="s">
        <v>840</v>
      </c>
      <c r="D277" s="2" t="s">
        <v>841</v>
      </c>
      <c r="E277" s="3">
        <v>45450</v>
      </c>
      <c r="F277" s="3">
        <v>45998</v>
      </c>
      <c r="G277" s="4">
        <v>0</v>
      </c>
      <c r="H277" s="10">
        <v>0.1075</v>
      </c>
      <c r="I277" s="10">
        <v>0.1065</v>
      </c>
      <c r="J277" s="5">
        <v>234800</v>
      </c>
      <c r="K277" s="5">
        <v>209400</v>
      </c>
      <c r="L277" s="5">
        <v>25400</v>
      </c>
      <c r="M277" s="4">
        <v>0.89</v>
      </c>
      <c r="N277" s="2">
        <v>2</v>
      </c>
      <c r="O277" s="5">
        <v>1876</v>
      </c>
      <c r="P277" s="5">
        <v>1876</v>
      </c>
      <c r="Q277" s="3">
        <v>45992</v>
      </c>
      <c r="R277" s="6">
        <f t="shared" si="12"/>
        <v>0</v>
      </c>
    </row>
    <row r="278" spans="1:18" x14ac:dyDescent="0.25">
      <c r="A278" s="2" t="s">
        <v>578</v>
      </c>
      <c r="B278" s="2" t="s">
        <v>842</v>
      </c>
      <c r="C278" s="2" t="s">
        <v>843</v>
      </c>
      <c r="D278" s="2" t="s">
        <v>844</v>
      </c>
      <c r="E278" s="3">
        <v>45454</v>
      </c>
      <c r="F278" s="3">
        <v>46276</v>
      </c>
      <c r="G278" s="4">
        <v>0</v>
      </c>
      <c r="H278" s="10">
        <v>0.1125</v>
      </c>
      <c r="I278" s="10">
        <v>0.1115</v>
      </c>
      <c r="J278" s="5">
        <v>391520</v>
      </c>
      <c r="K278" s="5">
        <v>383145</v>
      </c>
      <c r="L278" s="5">
        <v>8375</v>
      </c>
      <c r="M278" s="4">
        <v>0.98</v>
      </c>
      <c r="N278" s="2">
        <v>8</v>
      </c>
      <c r="O278" s="5">
        <v>0</v>
      </c>
      <c r="P278" s="5">
        <v>3592</v>
      </c>
      <c r="Q278" s="3">
        <v>46023</v>
      </c>
      <c r="R278" s="6">
        <f t="shared" si="12"/>
        <v>0</v>
      </c>
    </row>
    <row r="279" spans="1:18" x14ac:dyDescent="0.25">
      <c r="A279" s="2" t="s">
        <v>578</v>
      </c>
      <c r="B279" s="2" t="s">
        <v>845</v>
      </c>
      <c r="C279" s="2" t="s">
        <v>846</v>
      </c>
      <c r="D279" s="2" t="s">
        <v>847</v>
      </c>
      <c r="E279" s="3">
        <v>45460</v>
      </c>
      <c r="F279" s="3">
        <v>46260</v>
      </c>
      <c r="G279" s="4">
        <v>0</v>
      </c>
      <c r="H279" s="10">
        <v>0.105</v>
      </c>
      <c r="I279" s="10">
        <v>0.105</v>
      </c>
      <c r="J279" s="5">
        <v>277100</v>
      </c>
      <c r="K279" s="5">
        <v>277100</v>
      </c>
      <c r="L279" s="5">
        <v>0</v>
      </c>
      <c r="M279" s="4">
        <v>1</v>
      </c>
      <c r="N279" s="2">
        <v>1</v>
      </c>
      <c r="O279" s="5">
        <v>81</v>
      </c>
      <c r="P279" s="5">
        <v>2425</v>
      </c>
      <c r="Q279" s="3">
        <v>46023</v>
      </c>
      <c r="R279" s="6">
        <f t="shared" si="12"/>
        <v>0</v>
      </c>
    </row>
    <row r="280" spans="1:18" x14ac:dyDescent="0.25">
      <c r="A280" s="2" t="s">
        <v>578</v>
      </c>
      <c r="B280" s="2" t="s">
        <v>848</v>
      </c>
      <c r="C280" s="2" t="s">
        <v>849</v>
      </c>
      <c r="D280" s="2" t="s">
        <v>850</v>
      </c>
      <c r="E280" s="3">
        <v>45460</v>
      </c>
      <c r="F280" s="3">
        <v>45825</v>
      </c>
      <c r="G280" s="4">
        <v>0</v>
      </c>
      <c r="H280" s="10">
        <v>0.1125</v>
      </c>
      <c r="I280" s="10">
        <v>0.1115</v>
      </c>
      <c r="J280" s="5">
        <v>174150</v>
      </c>
      <c r="K280" s="5">
        <v>167900</v>
      </c>
      <c r="L280" s="5">
        <v>6250</v>
      </c>
      <c r="M280" s="4">
        <v>0.96</v>
      </c>
      <c r="N280" s="2">
        <v>7</v>
      </c>
      <c r="O280" s="5">
        <v>1653</v>
      </c>
      <c r="P280" s="5">
        <v>1574</v>
      </c>
      <c r="Q280" s="3">
        <v>45992</v>
      </c>
      <c r="R280" s="6">
        <f t="shared" ref="R280:R301" si="13">G280*K280</f>
        <v>0</v>
      </c>
    </row>
    <row r="281" spans="1:18" x14ac:dyDescent="0.25">
      <c r="A281" s="2" t="s">
        <v>578</v>
      </c>
      <c r="B281" s="2" t="s">
        <v>851</v>
      </c>
      <c r="C281" s="2" t="s">
        <v>852</v>
      </c>
      <c r="D281" s="2" t="s">
        <v>853</v>
      </c>
      <c r="E281" s="3">
        <v>45461</v>
      </c>
      <c r="F281" s="3">
        <v>45826</v>
      </c>
      <c r="G281" s="4">
        <v>0</v>
      </c>
      <c r="H281" s="10">
        <v>0.1125</v>
      </c>
      <c r="I281" s="10">
        <v>0.1115</v>
      </c>
      <c r="J281" s="5">
        <v>217000</v>
      </c>
      <c r="K281" s="5">
        <v>217000</v>
      </c>
      <c r="L281" s="5">
        <v>0</v>
      </c>
      <c r="M281" s="4">
        <v>1</v>
      </c>
      <c r="N281" s="2">
        <v>5</v>
      </c>
      <c r="O281" s="5">
        <v>4159</v>
      </c>
      <c r="P281" s="5">
        <v>2034</v>
      </c>
      <c r="Q281" s="3">
        <v>46021</v>
      </c>
      <c r="R281" s="6">
        <f t="shared" si="13"/>
        <v>0</v>
      </c>
    </row>
    <row r="282" spans="1:18" x14ac:dyDescent="0.25">
      <c r="A282" s="2" t="s">
        <v>578</v>
      </c>
      <c r="B282" s="2" t="s">
        <v>854</v>
      </c>
      <c r="C282" s="2" t="s">
        <v>855</v>
      </c>
      <c r="D282" s="2" t="s">
        <v>856</v>
      </c>
      <c r="E282" s="3">
        <v>45470</v>
      </c>
      <c r="F282" s="3">
        <v>46018</v>
      </c>
      <c r="G282" s="4">
        <v>0</v>
      </c>
      <c r="H282" s="10">
        <v>0.105</v>
      </c>
      <c r="I282" s="10">
        <v>0.105</v>
      </c>
      <c r="J282" s="5">
        <v>379100</v>
      </c>
      <c r="K282" s="5">
        <v>379100</v>
      </c>
      <c r="L282" s="5">
        <v>0</v>
      </c>
      <c r="M282" s="4">
        <v>1</v>
      </c>
      <c r="N282" s="2">
        <v>1</v>
      </c>
      <c r="O282" s="5">
        <v>111</v>
      </c>
      <c r="P282" s="5">
        <v>3317</v>
      </c>
      <c r="Q282" s="3">
        <v>46023</v>
      </c>
      <c r="R282" s="6">
        <f t="shared" si="13"/>
        <v>0</v>
      </c>
    </row>
    <row r="283" spans="1:18" x14ac:dyDescent="0.25">
      <c r="A283" s="2" t="s">
        <v>578</v>
      </c>
      <c r="B283" s="2" t="s">
        <v>857</v>
      </c>
      <c r="C283" s="2" t="s">
        <v>858</v>
      </c>
      <c r="D283" s="2" t="s">
        <v>859</v>
      </c>
      <c r="E283" s="3">
        <v>45474</v>
      </c>
      <c r="F283" s="3">
        <v>45931</v>
      </c>
      <c r="G283" s="4">
        <v>0</v>
      </c>
      <c r="H283" s="10">
        <v>0.1125</v>
      </c>
      <c r="I283" s="10">
        <v>0.1115</v>
      </c>
      <c r="J283" s="5">
        <v>735000</v>
      </c>
      <c r="K283" s="5">
        <v>558203</v>
      </c>
      <c r="L283" s="5">
        <v>176797</v>
      </c>
      <c r="M283" s="4">
        <v>0.76</v>
      </c>
      <c r="N283" s="2">
        <v>2</v>
      </c>
      <c r="O283" s="5">
        <v>15898</v>
      </c>
      <c r="P283" s="5">
        <v>5257</v>
      </c>
      <c r="Q283" s="3">
        <v>45870</v>
      </c>
      <c r="R283" s="6">
        <f t="shared" si="13"/>
        <v>0</v>
      </c>
    </row>
    <row r="284" spans="1:18" x14ac:dyDescent="0.25">
      <c r="A284" s="2" t="s">
        <v>578</v>
      </c>
      <c r="B284" s="2" t="s">
        <v>860</v>
      </c>
      <c r="C284" s="2" t="s">
        <v>861</v>
      </c>
      <c r="D284" s="2" t="s">
        <v>862</v>
      </c>
      <c r="E284" s="3">
        <v>45481</v>
      </c>
      <c r="F284" s="3">
        <v>46173</v>
      </c>
      <c r="G284" s="4">
        <v>0</v>
      </c>
      <c r="H284" s="10">
        <v>0.1125</v>
      </c>
      <c r="I284" s="10">
        <v>0.1115</v>
      </c>
      <c r="J284" s="5">
        <v>204175</v>
      </c>
      <c r="K284" s="5">
        <v>204175</v>
      </c>
      <c r="L284" s="5">
        <v>0</v>
      </c>
      <c r="M284" s="4">
        <v>1</v>
      </c>
      <c r="N284" s="2">
        <v>3</v>
      </c>
      <c r="O284" s="5">
        <v>0</v>
      </c>
      <c r="P284" s="5">
        <v>1914</v>
      </c>
      <c r="Q284" s="3">
        <v>46023</v>
      </c>
      <c r="R284" s="6">
        <f t="shared" si="13"/>
        <v>0</v>
      </c>
    </row>
    <row r="285" spans="1:18" x14ac:dyDescent="0.25">
      <c r="A285" s="2" t="s">
        <v>578</v>
      </c>
      <c r="B285" s="2" t="s">
        <v>863</v>
      </c>
      <c r="C285" s="2" t="s">
        <v>864</v>
      </c>
      <c r="D285" s="2" t="s">
        <v>865</v>
      </c>
      <c r="E285" s="3">
        <v>45485</v>
      </c>
      <c r="F285" s="3">
        <v>46034</v>
      </c>
      <c r="G285" s="4">
        <v>0</v>
      </c>
      <c r="H285" s="10">
        <v>0.115</v>
      </c>
      <c r="I285" s="10">
        <v>0.114</v>
      </c>
      <c r="J285" s="5">
        <v>289890</v>
      </c>
      <c r="K285" s="5">
        <v>237249</v>
      </c>
      <c r="L285" s="5">
        <v>52641</v>
      </c>
      <c r="M285" s="4">
        <v>0.82</v>
      </c>
      <c r="N285" s="2">
        <v>7</v>
      </c>
      <c r="O285" s="5">
        <v>0</v>
      </c>
      <c r="P285" s="5">
        <v>2274</v>
      </c>
      <c r="Q285" s="3">
        <v>46023</v>
      </c>
      <c r="R285" s="6">
        <f t="shared" si="13"/>
        <v>0</v>
      </c>
    </row>
    <row r="286" spans="1:18" x14ac:dyDescent="0.25">
      <c r="A286" s="2" t="s">
        <v>578</v>
      </c>
      <c r="B286" s="2" t="s">
        <v>866</v>
      </c>
      <c r="C286" s="2" t="s">
        <v>867</v>
      </c>
      <c r="D286" s="2" t="s">
        <v>868</v>
      </c>
      <c r="E286" s="3">
        <v>45490</v>
      </c>
      <c r="F286" s="3">
        <v>46404</v>
      </c>
      <c r="G286" s="4">
        <v>0</v>
      </c>
      <c r="H286" s="10">
        <v>0.11</v>
      </c>
      <c r="I286" s="10">
        <v>0.109</v>
      </c>
      <c r="J286" s="5">
        <v>432550</v>
      </c>
      <c r="K286" s="5">
        <v>272000</v>
      </c>
      <c r="L286" s="5">
        <v>160550</v>
      </c>
      <c r="M286" s="4">
        <v>0.63</v>
      </c>
      <c r="N286" s="2">
        <v>1</v>
      </c>
      <c r="O286" s="5">
        <v>0</v>
      </c>
      <c r="P286" s="5">
        <v>2493</v>
      </c>
      <c r="Q286" s="3">
        <v>46023</v>
      </c>
      <c r="R286" s="6">
        <f t="shared" si="13"/>
        <v>0</v>
      </c>
    </row>
    <row r="287" spans="1:18" x14ac:dyDescent="0.25">
      <c r="A287" s="2" t="s">
        <v>578</v>
      </c>
      <c r="B287" s="2" t="s">
        <v>869</v>
      </c>
      <c r="C287" s="2" t="s">
        <v>870</v>
      </c>
      <c r="D287" s="2" t="s">
        <v>871</v>
      </c>
      <c r="E287" s="3">
        <v>45490</v>
      </c>
      <c r="F287" s="3">
        <v>46312</v>
      </c>
      <c r="G287" s="4">
        <v>0</v>
      </c>
      <c r="H287" s="10">
        <v>0.1125</v>
      </c>
      <c r="I287" s="10">
        <v>0.1115</v>
      </c>
      <c r="J287" s="5">
        <v>184455</v>
      </c>
      <c r="K287" s="5">
        <v>95505</v>
      </c>
      <c r="L287" s="5">
        <v>88950</v>
      </c>
      <c r="M287" s="4">
        <v>0.52</v>
      </c>
      <c r="N287" s="2">
        <v>1</v>
      </c>
      <c r="O287" s="5">
        <v>0</v>
      </c>
      <c r="P287" s="5">
        <v>895</v>
      </c>
      <c r="Q287" s="3">
        <v>46023</v>
      </c>
      <c r="R287" s="6">
        <f t="shared" si="13"/>
        <v>0</v>
      </c>
    </row>
    <row r="288" spans="1:18" x14ac:dyDescent="0.25">
      <c r="A288" s="2" t="s">
        <v>578</v>
      </c>
      <c r="B288" s="2" t="s">
        <v>872</v>
      </c>
      <c r="C288" s="2" t="s">
        <v>873</v>
      </c>
      <c r="D288" s="2" t="s">
        <v>874</v>
      </c>
      <c r="E288" s="3">
        <v>45491</v>
      </c>
      <c r="F288" s="3">
        <v>45856</v>
      </c>
      <c r="G288" s="4">
        <v>0</v>
      </c>
      <c r="H288" s="10">
        <v>0.11</v>
      </c>
      <c r="I288" s="10">
        <v>0.109</v>
      </c>
      <c r="J288" s="5">
        <v>435500</v>
      </c>
      <c r="K288" s="5">
        <v>435500</v>
      </c>
      <c r="L288" s="5">
        <v>0</v>
      </c>
      <c r="M288" s="4">
        <v>1</v>
      </c>
      <c r="N288" s="2">
        <v>1</v>
      </c>
      <c r="O288" s="5">
        <v>0</v>
      </c>
      <c r="P288" s="5">
        <v>3992</v>
      </c>
      <c r="Q288" s="3">
        <v>46023</v>
      </c>
      <c r="R288" s="6">
        <f t="shared" si="13"/>
        <v>0</v>
      </c>
    </row>
    <row r="289" spans="1:18" x14ac:dyDescent="0.25">
      <c r="A289" s="2" t="s">
        <v>578</v>
      </c>
      <c r="B289" s="2" t="s">
        <v>875</v>
      </c>
      <c r="C289" s="2" t="s">
        <v>876</v>
      </c>
      <c r="D289" s="2" t="s">
        <v>877</v>
      </c>
      <c r="E289" s="3">
        <v>45499</v>
      </c>
      <c r="F289" s="3">
        <v>46322</v>
      </c>
      <c r="G289" s="4">
        <v>0</v>
      </c>
      <c r="H289" s="10">
        <v>0.11</v>
      </c>
      <c r="I289" s="10">
        <v>0.109</v>
      </c>
      <c r="J289" s="5">
        <v>430500</v>
      </c>
      <c r="K289" s="5">
        <v>397418</v>
      </c>
      <c r="L289" s="5">
        <v>33082</v>
      </c>
      <c r="M289" s="4">
        <v>0.92</v>
      </c>
      <c r="N289" s="2">
        <v>2</v>
      </c>
      <c r="O289" s="5">
        <v>0</v>
      </c>
      <c r="P289" s="5">
        <v>3643</v>
      </c>
      <c r="Q289" s="3">
        <v>46023</v>
      </c>
      <c r="R289" s="6">
        <f t="shared" si="13"/>
        <v>0</v>
      </c>
    </row>
    <row r="290" spans="1:18" x14ac:dyDescent="0.25">
      <c r="A290" s="2" t="s">
        <v>578</v>
      </c>
      <c r="B290" s="2" t="s">
        <v>878</v>
      </c>
      <c r="C290" s="2" t="s">
        <v>879</v>
      </c>
      <c r="D290" s="2" t="s">
        <v>880</v>
      </c>
      <c r="E290" s="3">
        <v>45503</v>
      </c>
      <c r="F290" s="3">
        <v>45868</v>
      </c>
      <c r="G290" s="4">
        <v>0</v>
      </c>
      <c r="H290" s="10">
        <v>0.1125</v>
      </c>
      <c r="I290" s="10">
        <v>0.1115</v>
      </c>
      <c r="J290" s="5">
        <v>340000</v>
      </c>
      <c r="K290" s="5">
        <v>339283</v>
      </c>
      <c r="L290" s="5">
        <v>717</v>
      </c>
      <c r="M290" s="4">
        <v>1</v>
      </c>
      <c r="N290" s="2">
        <v>6</v>
      </c>
      <c r="O290" s="5">
        <v>0</v>
      </c>
      <c r="P290" s="5">
        <v>3181</v>
      </c>
      <c r="Q290" s="3">
        <v>46023</v>
      </c>
      <c r="R290" s="6">
        <f t="shared" si="13"/>
        <v>0</v>
      </c>
    </row>
    <row r="291" spans="1:18" x14ac:dyDescent="0.25">
      <c r="A291" s="2" t="s">
        <v>578</v>
      </c>
      <c r="B291" s="2" t="s">
        <v>881</v>
      </c>
      <c r="C291" s="2" t="s">
        <v>882</v>
      </c>
      <c r="D291" s="2" t="s">
        <v>883</v>
      </c>
      <c r="E291" s="3">
        <v>45505</v>
      </c>
      <c r="F291" s="3">
        <v>45870</v>
      </c>
      <c r="G291" s="4">
        <v>0</v>
      </c>
      <c r="H291" s="10">
        <v>0.11</v>
      </c>
      <c r="I291" s="10">
        <v>0.109</v>
      </c>
      <c r="J291" s="5">
        <v>1021850</v>
      </c>
      <c r="K291" s="5">
        <v>852250</v>
      </c>
      <c r="L291" s="5">
        <v>169600</v>
      </c>
      <c r="M291" s="4">
        <v>0.83</v>
      </c>
      <c r="N291" s="2">
        <v>5</v>
      </c>
      <c r="O291" s="5">
        <v>23940</v>
      </c>
      <c r="P291" s="5">
        <v>8055</v>
      </c>
      <c r="Q291" s="3">
        <v>45870</v>
      </c>
      <c r="R291" s="6">
        <f t="shared" si="13"/>
        <v>0</v>
      </c>
    </row>
    <row r="292" spans="1:18" x14ac:dyDescent="0.25">
      <c r="A292" s="2" t="s">
        <v>578</v>
      </c>
      <c r="B292" s="2" t="s">
        <v>884</v>
      </c>
      <c r="C292" s="2" t="s">
        <v>885</v>
      </c>
      <c r="D292" s="2" t="s">
        <v>886</v>
      </c>
      <c r="E292" s="3">
        <v>45506</v>
      </c>
      <c r="F292" s="3">
        <v>46356</v>
      </c>
      <c r="G292" s="4">
        <v>0</v>
      </c>
      <c r="H292" s="10">
        <v>0.1125</v>
      </c>
      <c r="I292" s="10">
        <v>0.1115</v>
      </c>
      <c r="J292" s="5">
        <v>184520</v>
      </c>
      <c r="K292" s="5">
        <v>144672</v>
      </c>
      <c r="L292" s="5">
        <v>39848</v>
      </c>
      <c r="M292" s="4">
        <v>0.78</v>
      </c>
      <c r="N292" s="2">
        <v>5</v>
      </c>
      <c r="O292" s="5">
        <v>0</v>
      </c>
      <c r="P292" s="5">
        <v>1126</v>
      </c>
      <c r="Q292" s="3">
        <v>46023</v>
      </c>
      <c r="R292" s="6">
        <f t="shared" si="13"/>
        <v>0</v>
      </c>
    </row>
    <row r="293" spans="1:18" x14ac:dyDescent="0.25">
      <c r="A293" s="2" t="s">
        <v>578</v>
      </c>
      <c r="B293" s="2" t="s">
        <v>887</v>
      </c>
      <c r="C293" s="2" t="s">
        <v>888</v>
      </c>
      <c r="D293" s="2" t="s">
        <v>889</v>
      </c>
      <c r="E293" s="3">
        <v>45510</v>
      </c>
      <c r="F293" s="3">
        <v>46173</v>
      </c>
      <c r="G293" s="4">
        <v>0</v>
      </c>
      <c r="H293" s="10">
        <v>0.11</v>
      </c>
      <c r="I293" s="10">
        <v>0.109</v>
      </c>
      <c r="J293" s="5">
        <v>371000</v>
      </c>
      <c r="K293" s="5">
        <v>371000</v>
      </c>
      <c r="L293" s="5">
        <v>0</v>
      </c>
      <c r="M293" s="4">
        <v>1</v>
      </c>
      <c r="N293" s="2">
        <v>1</v>
      </c>
      <c r="O293" s="5">
        <v>0</v>
      </c>
      <c r="P293" s="5">
        <v>3401</v>
      </c>
      <c r="Q293" s="3">
        <v>46023</v>
      </c>
      <c r="R293" s="6">
        <f t="shared" si="13"/>
        <v>0</v>
      </c>
    </row>
    <row r="294" spans="1:18" x14ac:dyDescent="0.25">
      <c r="A294" s="2" t="s">
        <v>578</v>
      </c>
      <c r="B294" s="2" t="s">
        <v>890</v>
      </c>
      <c r="C294" s="2" t="s">
        <v>891</v>
      </c>
      <c r="D294" s="2" t="s">
        <v>892</v>
      </c>
      <c r="E294" s="3">
        <v>45523</v>
      </c>
      <c r="F294" s="3">
        <v>46072</v>
      </c>
      <c r="G294" s="4">
        <v>0</v>
      </c>
      <c r="H294" s="10">
        <v>0.1125</v>
      </c>
      <c r="I294" s="10">
        <v>0.1115</v>
      </c>
      <c r="J294" s="5">
        <v>73500</v>
      </c>
      <c r="K294" s="5">
        <v>73500</v>
      </c>
      <c r="L294" s="5">
        <v>0</v>
      </c>
      <c r="M294" s="4">
        <v>1</v>
      </c>
      <c r="N294" s="2">
        <v>5</v>
      </c>
      <c r="O294" s="5">
        <v>0</v>
      </c>
      <c r="P294" s="5">
        <v>689</v>
      </c>
      <c r="Q294" s="3">
        <v>46023</v>
      </c>
      <c r="R294" s="6">
        <f t="shared" si="13"/>
        <v>0</v>
      </c>
    </row>
    <row r="295" spans="1:18" x14ac:dyDescent="0.25">
      <c r="A295" s="2" t="s">
        <v>578</v>
      </c>
      <c r="B295" s="2" t="s">
        <v>893</v>
      </c>
      <c r="C295" s="2" t="s">
        <v>894</v>
      </c>
      <c r="D295" s="2" t="s">
        <v>895</v>
      </c>
      <c r="E295" s="3">
        <v>45525</v>
      </c>
      <c r="F295" s="3">
        <v>46074</v>
      </c>
      <c r="G295" s="4">
        <v>0</v>
      </c>
      <c r="H295" s="10">
        <v>0.1125</v>
      </c>
      <c r="I295" s="10">
        <v>0.1115</v>
      </c>
      <c r="J295" s="5">
        <v>245000</v>
      </c>
      <c r="K295" s="5">
        <v>234513</v>
      </c>
      <c r="L295" s="5">
        <v>10487</v>
      </c>
      <c r="M295" s="4">
        <v>0.96</v>
      </c>
      <c r="N295" s="2">
        <v>3</v>
      </c>
      <c r="O295" s="5">
        <v>4470</v>
      </c>
      <c r="P295" s="5">
        <v>2272</v>
      </c>
      <c r="Q295" s="3">
        <v>45962</v>
      </c>
      <c r="R295" s="6">
        <f t="shared" si="13"/>
        <v>0</v>
      </c>
    </row>
    <row r="296" spans="1:18" x14ac:dyDescent="0.25">
      <c r="A296" s="2" t="s">
        <v>578</v>
      </c>
      <c r="B296" s="2" t="s">
        <v>896</v>
      </c>
      <c r="C296" s="2" t="s">
        <v>897</v>
      </c>
      <c r="D296" s="2" t="s">
        <v>898</v>
      </c>
      <c r="E296" s="3">
        <v>45538</v>
      </c>
      <c r="F296" s="3">
        <v>45903</v>
      </c>
      <c r="G296" s="4">
        <v>0</v>
      </c>
      <c r="H296" s="10">
        <v>0.1125</v>
      </c>
      <c r="I296" s="10">
        <v>0.1115</v>
      </c>
      <c r="J296" s="5">
        <v>289600</v>
      </c>
      <c r="K296" s="5">
        <v>289600</v>
      </c>
      <c r="L296" s="5">
        <v>0</v>
      </c>
      <c r="M296" s="4">
        <v>1</v>
      </c>
      <c r="N296" s="2">
        <v>4</v>
      </c>
      <c r="O296" s="5">
        <v>0</v>
      </c>
      <c r="P296" s="5">
        <v>2715</v>
      </c>
      <c r="Q296" s="3">
        <v>46023</v>
      </c>
      <c r="R296" s="6">
        <f t="shared" si="13"/>
        <v>0</v>
      </c>
    </row>
    <row r="297" spans="1:18" x14ac:dyDescent="0.25">
      <c r="A297" s="2" t="s">
        <v>578</v>
      </c>
      <c r="B297" s="2" t="s">
        <v>899</v>
      </c>
      <c r="C297" s="2" t="s">
        <v>900</v>
      </c>
      <c r="D297" s="2" t="s">
        <v>901</v>
      </c>
      <c r="E297" s="3">
        <v>45538</v>
      </c>
      <c r="F297" s="3">
        <v>45930</v>
      </c>
      <c r="G297" s="4">
        <v>0</v>
      </c>
      <c r="H297" s="10">
        <v>0.1125</v>
      </c>
      <c r="I297" s="10">
        <v>0.1115</v>
      </c>
      <c r="J297" s="5">
        <v>416050</v>
      </c>
      <c r="K297" s="5">
        <v>351050</v>
      </c>
      <c r="L297" s="5">
        <v>65000</v>
      </c>
      <c r="M297" s="4">
        <v>0.84</v>
      </c>
      <c r="N297" s="2">
        <v>1</v>
      </c>
      <c r="O297" s="5">
        <v>0</v>
      </c>
      <c r="P297" s="5">
        <v>3291</v>
      </c>
      <c r="Q297" s="3">
        <v>46023</v>
      </c>
      <c r="R297" s="6">
        <f t="shared" si="13"/>
        <v>0</v>
      </c>
    </row>
    <row r="298" spans="1:18" x14ac:dyDescent="0.25">
      <c r="A298" s="2" t="s">
        <v>578</v>
      </c>
      <c r="B298" s="2" t="s">
        <v>902</v>
      </c>
      <c r="C298" s="2" t="s">
        <v>903</v>
      </c>
      <c r="D298" s="2" t="s">
        <v>904</v>
      </c>
      <c r="E298" s="3">
        <v>45541</v>
      </c>
      <c r="F298" s="3">
        <v>45906</v>
      </c>
      <c r="G298" s="4">
        <v>0</v>
      </c>
      <c r="H298" s="10">
        <v>0.11749999999999999</v>
      </c>
      <c r="I298" s="10">
        <v>0.11650000000000001</v>
      </c>
      <c r="J298" s="5">
        <v>228982</v>
      </c>
      <c r="K298" s="5">
        <v>220777</v>
      </c>
      <c r="L298" s="5">
        <v>8205</v>
      </c>
      <c r="M298" s="4">
        <v>0.96</v>
      </c>
      <c r="N298" s="2">
        <v>22</v>
      </c>
      <c r="O298" s="5">
        <v>0</v>
      </c>
      <c r="P298" s="5">
        <v>2162</v>
      </c>
      <c r="Q298" s="3">
        <v>46023</v>
      </c>
      <c r="R298" s="6">
        <f t="shared" si="13"/>
        <v>0</v>
      </c>
    </row>
    <row r="299" spans="1:18" x14ac:dyDescent="0.25">
      <c r="A299" s="2" t="s">
        <v>578</v>
      </c>
      <c r="B299" s="2" t="s">
        <v>905</v>
      </c>
      <c r="C299" s="2" t="s">
        <v>906</v>
      </c>
      <c r="D299" s="2" t="s">
        <v>907</v>
      </c>
      <c r="E299" s="3">
        <v>45546</v>
      </c>
      <c r="F299" s="3">
        <v>45911</v>
      </c>
      <c r="G299" s="4">
        <v>0</v>
      </c>
      <c r="H299" s="10">
        <v>0.1125</v>
      </c>
      <c r="I299" s="10">
        <v>0.1115</v>
      </c>
      <c r="J299" s="5">
        <v>180000</v>
      </c>
      <c r="K299" s="5">
        <v>147259</v>
      </c>
      <c r="L299" s="5">
        <v>32741</v>
      </c>
      <c r="M299" s="4">
        <v>0.82</v>
      </c>
      <c r="N299" s="2">
        <v>3</v>
      </c>
      <c r="O299" s="5">
        <v>0</v>
      </c>
      <c r="P299" s="5">
        <v>1273</v>
      </c>
      <c r="Q299" s="3">
        <v>46023</v>
      </c>
      <c r="R299" s="6">
        <f t="shared" si="13"/>
        <v>0</v>
      </c>
    </row>
    <row r="300" spans="1:18" x14ac:dyDescent="0.25">
      <c r="A300" s="2" t="s">
        <v>578</v>
      </c>
      <c r="B300" s="2" t="s">
        <v>908</v>
      </c>
      <c r="C300" s="2" t="s">
        <v>909</v>
      </c>
      <c r="D300" s="2" t="s">
        <v>910</v>
      </c>
      <c r="E300" s="3">
        <v>45548</v>
      </c>
      <c r="F300" s="3">
        <v>46172</v>
      </c>
      <c r="G300" s="4">
        <v>0</v>
      </c>
      <c r="H300" s="10">
        <v>0.1125</v>
      </c>
      <c r="I300" s="10">
        <v>0.1115</v>
      </c>
      <c r="J300" s="5">
        <v>421350</v>
      </c>
      <c r="K300" s="5">
        <v>418300</v>
      </c>
      <c r="L300" s="5">
        <v>3050</v>
      </c>
      <c r="M300" s="4">
        <v>0.99</v>
      </c>
      <c r="N300" s="2">
        <v>5</v>
      </c>
      <c r="O300" s="5">
        <v>1077</v>
      </c>
      <c r="P300" s="5">
        <v>3922</v>
      </c>
      <c r="Q300" s="3">
        <v>46023</v>
      </c>
      <c r="R300" s="6">
        <f t="shared" si="13"/>
        <v>0</v>
      </c>
    </row>
    <row r="301" spans="1:18" x14ac:dyDescent="0.25">
      <c r="A301" s="2" t="s">
        <v>578</v>
      </c>
      <c r="B301" s="2" t="s">
        <v>911</v>
      </c>
      <c r="C301" s="2" t="s">
        <v>912</v>
      </c>
      <c r="D301" s="2" t="s">
        <v>913</v>
      </c>
      <c r="E301" s="3">
        <v>45548</v>
      </c>
      <c r="F301" s="3">
        <v>46370</v>
      </c>
      <c r="G301" s="4">
        <v>0</v>
      </c>
      <c r="H301" s="10">
        <v>0.1125</v>
      </c>
      <c r="I301" s="10">
        <v>0.1115</v>
      </c>
      <c r="J301" s="5">
        <v>497600</v>
      </c>
      <c r="K301" s="5">
        <v>322000</v>
      </c>
      <c r="L301" s="5">
        <v>175600</v>
      </c>
      <c r="M301" s="4">
        <v>0.65</v>
      </c>
      <c r="N301" s="2">
        <v>3</v>
      </c>
      <c r="O301" s="5">
        <v>0</v>
      </c>
      <c r="P301" s="5">
        <v>3019</v>
      </c>
      <c r="Q301" s="3">
        <v>46023</v>
      </c>
      <c r="R301" s="6">
        <f t="shared" si="13"/>
        <v>0</v>
      </c>
    </row>
    <row r="302" spans="1:18" x14ac:dyDescent="0.25">
      <c r="A302" s="2" t="s">
        <v>578</v>
      </c>
      <c r="B302" s="2" t="s">
        <v>914</v>
      </c>
      <c r="C302" s="2" t="s">
        <v>915</v>
      </c>
      <c r="D302" s="2" t="s">
        <v>916</v>
      </c>
      <c r="E302" s="3">
        <v>45558</v>
      </c>
      <c r="F302" s="3">
        <v>45923</v>
      </c>
      <c r="G302" s="4">
        <v>0</v>
      </c>
      <c r="H302" s="10">
        <v>0.1125</v>
      </c>
      <c r="I302" s="10">
        <v>0.1115</v>
      </c>
      <c r="J302" s="5">
        <v>290500</v>
      </c>
      <c r="K302" s="5">
        <v>290500</v>
      </c>
      <c r="L302" s="5">
        <v>0</v>
      </c>
      <c r="M302" s="4">
        <v>1</v>
      </c>
      <c r="N302" s="2">
        <v>8</v>
      </c>
      <c r="O302" s="5">
        <v>0</v>
      </c>
      <c r="P302" s="5">
        <v>2723</v>
      </c>
      <c r="Q302" s="3">
        <v>46023</v>
      </c>
      <c r="R302" s="6">
        <f t="shared" ref="R302:R316" si="14">G302*K302</f>
        <v>0</v>
      </c>
    </row>
    <row r="303" spans="1:18" x14ac:dyDescent="0.25">
      <c r="A303" s="2" t="s">
        <v>578</v>
      </c>
      <c r="B303" s="2" t="s">
        <v>917</v>
      </c>
      <c r="C303" s="2" t="s">
        <v>918</v>
      </c>
      <c r="D303" s="2" t="s">
        <v>919</v>
      </c>
      <c r="E303" s="3">
        <v>45559</v>
      </c>
      <c r="F303" s="3">
        <v>45924</v>
      </c>
      <c r="G303" s="4">
        <v>0</v>
      </c>
      <c r="H303" s="10">
        <v>0.11</v>
      </c>
      <c r="I303" s="10">
        <v>0.109</v>
      </c>
      <c r="J303" s="5">
        <v>870000</v>
      </c>
      <c r="K303" s="5">
        <v>870000</v>
      </c>
      <c r="L303" s="5">
        <v>0</v>
      </c>
      <c r="M303" s="4">
        <v>1</v>
      </c>
      <c r="N303" s="2">
        <v>1</v>
      </c>
      <c r="O303" s="5">
        <v>56</v>
      </c>
      <c r="P303" s="5">
        <v>7975</v>
      </c>
      <c r="Q303" s="3">
        <v>46023</v>
      </c>
      <c r="R303" s="6">
        <f t="shared" si="14"/>
        <v>0</v>
      </c>
    </row>
    <row r="304" spans="1:18" x14ac:dyDescent="0.25">
      <c r="A304" s="2" t="s">
        <v>578</v>
      </c>
      <c r="B304" s="2" t="s">
        <v>920</v>
      </c>
      <c r="C304" s="2" t="s">
        <v>921</v>
      </c>
      <c r="D304" s="2" t="s">
        <v>922</v>
      </c>
      <c r="E304" s="3">
        <v>45561</v>
      </c>
      <c r="F304" s="3">
        <v>45926</v>
      </c>
      <c r="G304" s="4">
        <v>0</v>
      </c>
      <c r="H304" s="10">
        <v>0.1125</v>
      </c>
      <c r="I304" s="10">
        <v>0.1115</v>
      </c>
      <c r="J304" s="5">
        <v>93000</v>
      </c>
      <c r="K304" s="5">
        <v>22500</v>
      </c>
      <c r="L304" s="5">
        <v>70500</v>
      </c>
      <c r="M304" s="4">
        <v>0.24</v>
      </c>
      <c r="N304" s="2">
        <v>1</v>
      </c>
      <c r="O304" s="5">
        <v>0</v>
      </c>
      <c r="P304" s="5">
        <v>872</v>
      </c>
      <c r="Q304" s="3">
        <v>46023</v>
      </c>
      <c r="R304" s="6">
        <f t="shared" si="14"/>
        <v>0</v>
      </c>
    </row>
    <row r="305" spans="1:18" x14ac:dyDescent="0.25">
      <c r="A305" s="2" t="s">
        <v>578</v>
      </c>
      <c r="B305" s="2" t="s">
        <v>923</v>
      </c>
      <c r="C305" s="2" t="s">
        <v>924</v>
      </c>
      <c r="D305" s="2" t="s">
        <v>925</v>
      </c>
      <c r="E305" s="3">
        <v>45568</v>
      </c>
      <c r="F305" s="3">
        <v>46295</v>
      </c>
      <c r="G305" s="4">
        <v>0</v>
      </c>
      <c r="H305" s="10">
        <v>0.115</v>
      </c>
      <c r="I305" s="10">
        <v>0.114</v>
      </c>
      <c r="J305" s="5">
        <v>746796</v>
      </c>
      <c r="K305" s="5">
        <v>746796</v>
      </c>
      <c r="L305" s="5">
        <v>0</v>
      </c>
      <c r="M305" s="4">
        <v>1</v>
      </c>
      <c r="N305" s="2">
        <v>8</v>
      </c>
      <c r="O305" s="5">
        <v>0</v>
      </c>
      <c r="P305" s="5">
        <v>7157</v>
      </c>
      <c r="Q305" s="3">
        <v>46023</v>
      </c>
      <c r="R305" s="6">
        <f t="shared" si="14"/>
        <v>0</v>
      </c>
    </row>
    <row r="306" spans="1:18" x14ac:dyDescent="0.25">
      <c r="A306" s="2" t="s">
        <v>578</v>
      </c>
      <c r="B306" s="2" t="s">
        <v>926</v>
      </c>
      <c r="C306" s="2" t="s">
        <v>927</v>
      </c>
      <c r="D306" s="2" t="s">
        <v>928</v>
      </c>
      <c r="E306" s="3">
        <v>45568</v>
      </c>
      <c r="F306" s="3">
        <v>45933</v>
      </c>
      <c r="G306" s="4">
        <v>0</v>
      </c>
      <c r="H306" s="10">
        <v>0.1075</v>
      </c>
      <c r="I306" s="10">
        <v>0.1065</v>
      </c>
      <c r="J306" s="5">
        <v>783000</v>
      </c>
      <c r="K306" s="5">
        <v>648256</v>
      </c>
      <c r="L306" s="5">
        <v>134744</v>
      </c>
      <c r="M306" s="4">
        <v>0.83</v>
      </c>
      <c r="N306" s="2">
        <v>4</v>
      </c>
      <c r="O306" s="5">
        <v>0</v>
      </c>
      <c r="P306" s="5">
        <v>5383</v>
      </c>
      <c r="Q306" s="3">
        <v>46023</v>
      </c>
      <c r="R306" s="6">
        <f t="shared" si="14"/>
        <v>0</v>
      </c>
    </row>
    <row r="307" spans="1:18" x14ac:dyDescent="0.25">
      <c r="A307" s="2" t="s">
        <v>578</v>
      </c>
      <c r="B307" s="2" t="s">
        <v>929</v>
      </c>
      <c r="C307" s="2" t="s">
        <v>930</v>
      </c>
      <c r="D307" s="2" t="s">
        <v>931</v>
      </c>
      <c r="E307" s="3">
        <v>45581</v>
      </c>
      <c r="F307" s="3">
        <v>46128</v>
      </c>
      <c r="G307" s="4">
        <v>0</v>
      </c>
      <c r="H307" s="10">
        <v>0.105</v>
      </c>
      <c r="I307" s="10">
        <v>0.104</v>
      </c>
      <c r="J307" s="5">
        <v>396000</v>
      </c>
      <c r="K307" s="5">
        <v>396000</v>
      </c>
      <c r="L307" s="5">
        <v>0</v>
      </c>
      <c r="M307" s="4">
        <v>1</v>
      </c>
      <c r="N307" s="2">
        <v>1</v>
      </c>
      <c r="O307" s="5">
        <v>0</v>
      </c>
      <c r="P307" s="5">
        <v>3465</v>
      </c>
      <c r="Q307" s="3">
        <v>46023</v>
      </c>
      <c r="R307" s="6">
        <f t="shared" si="14"/>
        <v>0</v>
      </c>
    </row>
    <row r="308" spans="1:18" x14ac:dyDescent="0.25">
      <c r="A308" s="2" t="s">
        <v>578</v>
      </c>
      <c r="B308" s="2" t="s">
        <v>932</v>
      </c>
      <c r="C308" s="2" t="s">
        <v>933</v>
      </c>
      <c r="D308" s="2" t="s">
        <v>934</v>
      </c>
      <c r="E308" s="3">
        <v>45594</v>
      </c>
      <c r="F308" s="3">
        <v>45959</v>
      </c>
      <c r="G308" s="4">
        <v>0</v>
      </c>
      <c r="H308" s="10">
        <v>0.11</v>
      </c>
      <c r="I308" s="10">
        <v>0.109</v>
      </c>
      <c r="J308" s="5">
        <v>415000</v>
      </c>
      <c r="K308" s="5">
        <v>408650</v>
      </c>
      <c r="L308" s="5">
        <v>6350</v>
      </c>
      <c r="M308" s="4">
        <v>0.98</v>
      </c>
      <c r="N308" s="2">
        <v>3</v>
      </c>
      <c r="O308" s="5">
        <v>0</v>
      </c>
      <c r="P308" s="5">
        <v>3746</v>
      </c>
      <c r="Q308" s="3">
        <v>46021</v>
      </c>
      <c r="R308" s="6">
        <f t="shared" si="14"/>
        <v>0</v>
      </c>
    </row>
    <row r="309" spans="1:18" x14ac:dyDescent="0.25">
      <c r="A309" s="2" t="s">
        <v>578</v>
      </c>
      <c r="B309" s="2" t="s">
        <v>935</v>
      </c>
      <c r="C309" s="2" t="s">
        <v>936</v>
      </c>
      <c r="D309" s="2" t="s">
        <v>937</v>
      </c>
      <c r="E309" s="3">
        <v>45596</v>
      </c>
      <c r="F309" s="3">
        <v>45961</v>
      </c>
      <c r="G309" s="4">
        <v>0</v>
      </c>
      <c r="H309" s="10">
        <v>0.1075</v>
      </c>
      <c r="I309" s="10">
        <v>0.1065</v>
      </c>
      <c r="J309" s="5">
        <v>120000</v>
      </c>
      <c r="K309" s="5">
        <v>120000</v>
      </c>
      <c r="L309" s="5">
        <v>0</v>
      </c>
      <c r="M309" s="4">
        <v>1</v>
      </c>
      <c r="N309" s="2">
        <v>1</v>
      </c>
      <c r="O309" s="5">
        <v>0</v>
      </c>
      <c r="P309" s="5">
        <v>1075</v>
      </c>
      <c r="Q309" s="3">
        <v>46023</v>
      </c>
      <c r="R309" s="6">
        <f t="shared" si="14"/>
        <v>0</v>
      </c>
    </row>
    <row r="310" spans="1:18" x14ac:dyDescent="0.25">
      <c r="A310" s="2" t="s">
        <v>578</v>
      </c>
      <c r="B310" s="2" t="s">
        <v>938</v>
      </c>
      <c r="C310" s="2" t="s">
        <v>939</v>
      </c>
      <c r="D310" s="2" t="s">
        <v>940</v>
      </c>
      <c r="E310" s="3">
        <v>45597</v>
      </c>
      <c r="F310" s="3">
        <v>46143</v>
      </c>
      <c r="G310" s="4">
        <v>0</v>
      </c>
      <c r="H310" s="10">
        <v>0.105</v>
      </c>
      <c r="I310" s="10">
        <v>0.104</v>
      </c>
      <c r="J310" s="5">
        <v>571500</v>
      </c>
      <c r="K310" s="5">
        <v>571500</v>
      </c>
      <c r="L310" s="5">
        <v>0</v>
      </c>
      <c r="M310" s="4">
        <v>1</v>
      </c>
      <c r="N310" s="2">
        <v>1</v>
      </c>
      <c r="O310" s="5">
        <v>0</v>
      </c>
      <c r="P310" s="5">
        <v>5001</v>
      </c>
      <c r="Q310" s="3">
        <v>46023</v>
      </c>
      <c r="R310" s="6">
        <f t="shared" si="14"/>
        <v>0</v>
      </c>
    </row>
    <row r="311" spans="1:18" x14ac:dyDescent="0.25">
      <c r="A311" s="2" t="s">
        <v>578</v>
      </c>
      <c r="B311" s="2" t="s">
        <v>941</v>
      </c>
      <c r="C311" s="2" t="s">
        <v>942</v>
      </c>
      <c r="D311" s="2" t="s">
        <v>943</v>
      </c>
      <c r="E311" s="3">
        <v>45602</v>
      </c>
      <c r="F311" s="3">
        <v>46148</v>
      </c>
      <c r="G311" s="4">
        <v>0</v>
      </c>
      <c r="H311" s="10">
        <v>0.1075</v>
      </c>
      <c r="I311" s="10">
        <v>0.1065</v>
      </c>
      <c r="J311" s="5">
        <v>137400</v>
      </c>
      <c r="K311" s="5">
        <v>137400</v>
      </c>
      <c r="L311" s="5">
        <v>0</v>
      </c>
      <c r="M311" s="4">
        <v>1</v>
      </c>
      <c r="N311" s="2">
        <v>3</v>
      </c>
      <c r="O311" s="5">
        <v>0</v>
      </c>
      <c r="P311" s="5">
        <v>1231</v>
      </c>
      <c r="Q311" s="3">
        <v>46023</v>
      </c>
      <c r="R311" s="6">
        <f t="shared" si="14"/>
        <v>0</v>
      </c>
    </row>
    <row r="312" spans="1:18" x14ac:dyDescent="0.25">
      <c r="A312" s="2" t="s">
        <v>578</v>
      </c>
      <c r="B312" s="2" t="s">
        <v>944</v>
      </c>
      <c r="C312" s="2" t="s">
        <v>945</v>
      </c>
      <c r="D312" s="2" t="s">
        <v>946</v>
      </c>
      <c r="E312" s="3">
        <v>45604</v>
      </c>
      <c r="F312" s="3">
        <v>45969</v>
      </c>
      <c r="G312" s="4">
        <v>0</v>
      </c>
      <c r="H312" s="10">
        <v>0.1099</v>
      </c>
      <c r="I312" s="10">
        <v>0.1089</v>
      </c>
      <c r="J312" s="5">
        <v>450000</v>
      </c>
      <c r="K312" s="5">
        <v>450000</v>
      </c>
      <c r="L312" s="5">
        <v>0</v>
      </c>
      <c r="M312" s="4">
        <v>1</v>
      </c>
      <c r="N312" s="2">
        <v>1</v>
      </c>
      <c r="O312" s="5">
        <v>0</v>
      </c>
      <c r="P312" s="5">
        <v>4121</v>
      </c>
      <c r="Q312" s="3">
        <v>46023</v>
      </c>
      <c r="R312" s="6">
        <f t="shared" si="14"/>
        <v>0</v>
      </c>
    </row>
    <row r="313" spans="1:18" x14ac:dyDescent="0.25">
      <c r="A313" s="2" t="s">
        <v>578</v>
      </c>
      <c r="B313" s="2" t="s">
        <v>947</v>
      </c>
      <c r="C313" s="2" t="s">
        <v>948</v>
      </c>
      <c r="D313" s="2" t="s">
        <v>949</v>
      </c>
      <c r="E313" s="3">
        <v>45604</v>
      </c>
      <c r="F313" s="3">
        <v>45969</v>
      </c>
      <c r="G313" s="4">
        <v>0</v>
      </c>
      <c r="H313" s="10">
        <v>0.1125</v>
      </c>
      <c r="I313" s="10">
        <v>0.1101</v>
      </c>
      <c r="J313" s="5">
        <v>1012500</v>
      </c>
      <c r="K313" s="5">
        <v>765000</v>
      </c>
      <c r="L313" s="5">
        <v>247500</v>
      </c>
      <c r="M313" s="4">
        <v>0.76</v>
      </c>
      <c r="N313" s="2">
        <v>1</v>
      </c>
      <c r="O313" s="5">
        <v>0</v>
      </c>
      <c r="P313" s="5">
        <v>7172</v>
      </c>
      <c r="Q313" s="3">
        <v>46023</v>
      </c>
      <c r="R313" s="6">
        <f t="shared" si="14"/>
        <v>0</v>
      </c>
    </row>
    <row r="314" spans="1:18" x14ac:dyDescent="0.25">
      <c r="A314" s="2" t="s">
        <v>578</v>
      </c>
      <c r="B314" s="2" t="s">
        <v>950</v>
      </c>
      <c r="C314" s="2" t="s">
        <v>951</v>
      </c>
      <c r="D314" s="2" t="s">
        <v>952</v>
      </c>
      <c r="E314" s="3">
        <v>45604</v>
      </c>
      <c r="F314" s="3">
        <v>45969</v>
      </c>
      <c r="G314" s="4">
        <v>0</v>
      </c>
      <c r="H314" s="10">
        <v>0.11</v>
      </c>
      <c r="I314" s="10">
        <v>0.109</v>
      </c>
      <c r="J314" s="5">
        <v>258000</v>
      </c>
      <c r="K314" s="5">
        <v>229440</v>
      </c>
      <c r="L314" s="5">
        <v>28560</v>
      </c>
      <c r="M314" s="4">
        <v>0.89</v>
      </c>
      <c r="N314" s="2">
        <v>2</v>
      </c>
      <c r="O314" s="5">
        <v>12830</v>
      </c>
      <c r="P314" s="5">
        <v>2103</v>
      </c>
      <c r="Q314" s="3">
        <v>45778</v>
      </c>
      <c r="R314" s="6">
        <f t="shared" si="14"/>
        <v>0</v>
      </c>
    </row>
    <row r="315" spans="1:18" x14ac:dyDescent="0.25">
      <c r="A315" s="2" t="s">
        <v>578</v>
      </c>
      <c r="B315" s="2" t="s">
        <v>953</v>
      </c>
      <c r="C315" s="2" t="s">
        <v>954</v>
      </c>
      <c r="D315" s="2" t="s">
        <v>955</v>
      </c>
      <c r="E315" s="3">
        <v>45609</v>
      </c>
      <c r="F315" s="3">
        <v>46155</v>
      </c>
      <c r="G315" s="4">
        <v>0</v>
      </c>
      <c r="H315" s="10">
        <v>0.105</v>
      </c>
      <c r="I315" s="10">
        <v>0.104</v>
      </c>
      <c r="J315" s="5">
        <v>540000</v>
      </c>
      <c r="K315" s="5">
        <v>540000</v>
      </c>
      <c r="L315" s="5">
        <v>0</v>
      </c>
      <c r="M315" s="4">
        <v>1</v>
      </c>
      <c r="N315" s="2">
        <v>1</v>
      </c>
      <c r="O315" s="5">
        <v>0</v>
      </c>
      <c r="P315" s="5">
        <v>4725</v>
      </c>
      <c r="Q315" s="3">
        <v>46023</v>
      </c>
      <c r="R315" s="6">
        <f t="shared" si="14"/>
        <v>0</v>
      </c>
    </row>
    <row r="316" spans="1:18" x14ac:dyDescent="0.25">
      <c r="A316" s="2" t="s">
        <v>578</v>
      </c>
      <c r="B316" s="2" t="s">
        <v>956</v>
      </c>
      <c r="C316" s="2" t="s">
        <v>957</v>
      </c>
      <c r="D316" s="2" t="s">
        <v>958</v>
      </c>
      <c r="E316" s="3">
        <v>45609</v>
      </c>
      <c r="F316" s="3">
        <v>46155</v>
      </c>
      <c r="G316" s="4">
        <v>0</v>
      </c>
      <c r="H316" s="10">
        <v>0.1075</v>
      </c>
      <c r="I316" s="10">
        <v>0.1065</v>
      </c>
      <c r="J316" s="5">
        <v>158200</v>
      </c>
      <c r="K316" s="5">
        <v>156398</v>
      </c>
      <c r="L316" s="5">
        <v>1802</v>
      </c>
      <c r="M316" s="4">
        <v>0.99</v>
      </c>
      <c r="N316" s="2">
        <v>6</v>
      </c>
      <c r="O316" s="5">
        <v>1401</v>
      </c>
      <c r="P316" s="5">
        <v>1401</v>
      </c>
      <c r="Q316" s="3">
        <v>45992</v>
      </c>
      <c r="R316" s="6">
        <f t="shared" si="14"/>
        <v>0</v>
      </c>
    </row>
    <row r="317" spans="1:18" x14ac:dyDescent="0.25">
      <c r="A317" s="2" t="s">
        <v>578</v>
      </c>
      <c r="B317" s="2" t="s">
        <v>959</v>
      </c>
      <c r="C317" s="2" t="s">
        <v>960</v>
      </c>
      <c r="D317" s="2" t="s">
        <v>961</v>
      </c>
      <c r="E317" s="3">
        <v>45617</v>
      </c>
      <c r="F317" s="3">
        <v>45982</v>
      </c>
      <c r="G317" s="4">
        <v>0</v>
      </c>
      <c r="H317" s="10">
        <v>0.115</v>
      </c>
      <c r="I317" s="10">
        <v>0.114</v>
      </c>
      <c r="J317" s="5">
        <v>215377</v>
      </c>
      <c r="K317" s="5">
        <v>215377</v>
      </c>
      <c r="L317" s="5">
        <v>0</v>
      </c>
      <c r="M317" s="4">
        <v>1</v>
      </c>
      <c r="N317" s="2">
        <v>23</v>
      </c>
      <c r="O317" s="5">
        <v>0</v>
      </c>
      <c r="P317" s="5">
        <v>2064</v>
      </c>
      <c r="Q317" s="3">
        <v>46023</v>
      </c>
      <c r="R317" s="6">
        <f t="shared" ref="R317:R350" si="15">G317*K317</f>
        <v>0</v>
      </c>
    </row>
    <row r="318" spans="1:18" x14ac:dyDescent="0.25">
      <c r="A318" s="2" t="s">
        <v>578</v>
      </c>
      <c r="B318" s="2" t="s">
        <v>962</v>
      </c>
      <c r="C318" s="2" t="s">
        <v>963</v>
      </c>
      <c r="D318" s="2" t="s">
        <v>964</v>
      </c>
      <c r="E318" s="3">
        <v>45617</v>
      </c>
      <c r="F318" s="3">
        <v>46265</v>
      </c>
      <c r="G318" s="4">
        <v>0</v>
      </c>
      <c r="H318" s="10">
        <v>0.1075</v>
      </c>
      <c r="I318" s="10">
        <v>0.1065</v>
      </c>
      <c r="J318" s="5">
        <v>136580</v>
      </c>
      <c r="K318" s="5">
        <v>64180</v>
      </c>
      <c r="L318" s="5">
        <v>72400</v>
      </c>
      <c r="M318" s="4">
        <v>0.47</v>
      </c>
      <c r="N318" s="2">
        <v>2</v>
      </c>
      <c r="O318" s="5">
        <v>0</v>
      </c>
      <c r="P318" s="5">
        <v>575</v>
      </c>
      <c r="Q318" s="3">
        <v>46023</v>
      </c>
      <c r="R318" s="6">
        <f t="shared" si="15"/>
        <v>0</v>
      </c>
    </row>
    <row r="319" spans="1:18" x14ac:dyDescent="0.25">
      <c r="A319" s="2" t="s">
        <v>578</v>
      </c>
      <c r="B319" s="2" t="s">
        <v>965</v>
      </c>
      <c r="C319" s="2" t="s">
        <v>966</v>
      </c>
      <c r="D319" s="2" t="s">
        <v>967</v>
      </c>
      <c r="E319" s="3">
        <v>45617</v>
      </c>
      <c r="F319" s="3">
        <v>45982</v>
      </c>
      <c r="G319" s="4">
        <v>0</v>
      </c>
      <c r="H319" s="10">
        <v>0.1125</v>
      </c>
      <c r="I319" s="10">
        <v>0.1115</v>
      </c>
      <c r="J319" s="5">
        <v>1750600</v>
      </c>
      <c r="K319" s="5">
        <v>1734112</v>
      </c>
      <c r="L319" s="5">
        <v>16488</v>
      </c>
      <c r="M319" s="4">
        <v>0.99</v>
      </c>
      <c r="N319" s="2">
        <v>7</v>
      </c>
      <c r="O319" s="5">
        <v>0</v>
      </c>
      <c r="P319" s="5">
        <v>16257</v>
      </c>
      <c r="Q319" s="3">
        <v>46023</v>
      </c>
      <c r="R319" s="6">
        <f t="shared" si="15"/>
        <v>0</v>
      </c>
    </row>
    <row r="320" spans="1:18" x14ac:dyDescent="0.25">
      <c r="A320" s="2" t="s">
        <v>578</v>
      </c>
      <c r="B320" s="2" t="s">
        <v>968</v>
      </c>
      <c r="C320" s="2" t="s">
        <v>969</v>
      </c>
      <c r="D320" s="2" t="s">
        <v>970</v>
      </c>
      <c r="E320" s="3">
        <v>45617</v>
      </c>
      <c r="F320" s="3">
        <v>45982</v>
      </c>
      <c r="G320" s="4">
        <v>0</v>
      </c>
      <c r="H320" s="10">
        <v>0.1099</v>
      </c>
      <c r="I320" s="10">
        <v>0.1089</v>
      </c>
      <c r="J320" s="5">
        <v>156000</v>
      </c>
      <c r="K320" s="5">
        <v>100000</v>
      </c>
      <c r="L320" s="5">
        <v>56000</v>
      </c>
      <c r="M320" s="4">
        <v>0.64</v>
      </c>
      <c r="N320" s="2">
        <v>1</v>
      </c>
      <c r="O320" s="5">
        <v>0</v>
      </c>
      <c r="P320" s="5">
        <v>916</v>
      </c>
      <c r="Q320" s="3">
        <v>46023</v>
      </c>
      <c r="R320" s="6">
        <f t="shared" si="15"/>
        <v>0</v>
      </c>
    </row>
    <row r="321" spans="1:18" x14ac:dyDescent="0.25">
      <c r="A321" s="2" t="s">
        <v>578</v>
      </c>
      <c r="B321" s="2" t="s">
        <v>971</v>
      </c>
      <c r="C321" s="2" t="s">
        <v>972</v>
      </c>
      <c r="D321" s="2" t="s">
        <v>973</v>
      </c>
      <c r="E321" s="3">
        <v>45618</v>
      </c>
      <c r="F321" s="3">
        <v>45983</v>
      </c>
      <c r="G321" s="4">
        <v>0</v>
      </c>
      <c r="H321" s="10">
        <v>0.1075</v>
      </c>
      <c r="I321" s="10">
        <v>0.1065</v>
      </c>
      <c r="J321" s="5">
        <v>124600</v>
      </c>
      <c r="K321" s="5">
        <v>118434</v>
      </c>
      <c r="L321" s="5">
        <v>6166</v>
      </c>
      <c r="M321" s="4">
        <v>0.95</v>
      </c>
      <c r="N321" s="2">
        <v>3</v>
      </c>
      <c r="O321" s="5">
        <v>0</v>
      </c>
      <c r="P321" s="5">
        <v>1061</v>
      </c>
      <c r="Q321" s="3">
        <v>46023</v>
      </c>
      <c r="R321" s="6">
        <f t="shared" si="15"/>
        <v>0</v>
      </c>
    </row>
    <row r="322" spans="1:18" x14ac:dyDescent="0.25">
      <c r="A322" s="2" t="s">
        <v>578</v>
      </c>
      <c r="B322" s="2" t="s">
        <v>974</v>
      </c>
      <c r="C322" s="2" t="s">
        <v>975</v>
      </c>
      <c r="D322" s="2" t="s">
        <v>976</v>
      </c>
      <c r="E322" s="3">
        <v>45618</v>
      </c>
      <c r="F322" s="3">
        <v>45983</v>
      </c>
      <c r="G322" s="4">
        <v>0</v>
      </c>
      <c r="H322" s="10">
        <v>0.1075</v>
      </c>
      <c r="I322" s="10">
        <v>0.1065</v>
      </c>
      <c r="J322" s="5">
        <v>79100</v>
      </c>
      <c r="K322" s="5">
        <v>71910</v>
      </c>
      <c r="L322" s="5">
        <v>7190</v>
      </c>
      <c r="M322" s="4">
        <v>0.91</v>
      </c>
      <c r="N322" s="2">
        <v>2</v>
      </c>
      <c r="O322" s="5">
        <v>0</v>
      </c>
      <c r="P322" s="5">
        <v>709</v>
      </c>
      <c r="Q322" s="3">
        <v>46023</v>
      </c>
      <c r="R322" s="6">
        <f t="shared" si="15"/>
        <v>0</v>
      </c>
    </row>
    <row r="323" spans="1:18" x14ac:dyDescent="0.25">
      <c r="A323" s="2" t="s">
        <v>578</v>
      </c>
      <c r="B323" s="2" t="s">
        <v>977</v>
      </c>
      <c r="C323" s="2" t="s">
        <v>978</v>
      </c>
      <c r="D323" s="2" t="s">
        <v>979</v>
      </c>
      <c r="E323" s="3">
        <v>45618</v>
      </c>
      <c r="F323" s="3">
        <v>45983</v>
      </c>
      <c r="G323" s="4">
        <v>0</v>
      </c>
      <c r="H323" s="10">
        <v>0.1075</v>
      </c>
      <c r="I323" s="10">
        <v>0.1065</v>
      </c>
      <c r="J323" s="5">
        <v>74200</v>
      </c>
      <c r="K323" s="5">
        <v>66299</v>
      </c>
      <c r="L323" s="5">
        <v>7901</v>
      </c>
      <c r="M323" s="4">
        <v>0.89</v>
      </c>
      <c r="N323" s="2">
        <v>2</v>
      </c>
      <c r="O323" s="5">
        <v>0</v>
      </c>
      <c r="P323" s="5">
        <v>665</v>
      </c>
      <c r="Q323" s="3">
        <v>46023</v>
      </c>
      <c r="R323" s="6">
        <f t="shared" si="15"/>
        <v>0</v>
      </c>
    </row>
    <row r="324" spans="1:18" x14ac:dyDescent="0.25">
      <c r="A324" s="2" t="s">
        <v>578</v>
      </c>
      <c r="B324" s="2" t="s">
        <v>980</v>
      </c>
      <c r="C324" s="2" t="s">
        <v>981</v>
      </c>
      <c r="D324" s="2" t="s">
        <v>982</v>
      </c>
      <c r="E324" s="3">
        <v>45621</v>
      </c>
      <c r="F324" s="3">
        <v>45986</v>
      </c>
      <c r="G324" s="4">
        <v>0</v>
      </c>
      <c r="H324" s="10">
        <v>0.1075</v>
      </c>
      <c r="I324" s="10">
        <v>0.1065</v>
      </c>
      <c r="J324" s="5">
        <v>391500</v>
      </c>
      <c r="K324" s="5">
        <v>391500</v>
      </c>
      <c r="L324" s="5">
        <v>0</v>
      </c>
      <c r="M324" s="4">
        <v>1</v>
      </c>
      <c r="N324" s="2">
        <v>1</v>
      </c>
      <c r="O324" s="5">
        <v>0</v>
      </c>
      <c r="P324" s="5">
        <v>3507</v>
      </c>
      <c r="Q324" s="3">
        <v>46023</v>
      </c>
      <c r="R324" s="6">
        <f t="shared" si="15"/>
        <v>0</v>
      </c>
    </row>
    <row r="325" spans="1:18" x14ac:dyDescent="0.25">
      <c r="A325" s="2" t="s">
        <v>578</v>
      </c>
      <c r="B325" s="2" t="s">
        <v>983</v>
      </c>
      <c r="C325" s="2" t="s">
        <v>984</v>
      </c>
      <c r="D325" s="2" t="s">
        <v>985</v>
      </c>
      <c r="E325" s="3">
        <v>45623</v>
      </c>
      <c r="F325" s="3">
        <v>45988</v>
      </c>
      <c r="G325" s="4">
        <v>0</v>
      </c>
      <c r="H325" s="10">
        <v>0.1075</v>
      </c>
      <c r="I325" s="10">
        <v>0.1062</v>
      </c>
      <c r="J325" s="5">
        <v>346500</v>
      </c>
      <c r="K325" s="5">
        <v>327052</v>
      </c>
      <c r="L325" s="5">
        <v>19448</v>
      </c>
      <c r="M325" s="4">
        <v>0.94</v>
      </c>
      <c r="N325" s="2">
        <v>3</v>
      </c>
      <c r="O325" s="5">
        <v>2921</v>
      </c>
      <c r="P325" s="5">
        <v>2921</v>
      </c>
      <c r="Q325" s="3">
        <v>45992</v>
      </c>
      <c r="R325" s="6">
        <f t="shared" si="15"/>
        <v>0</v>
      </c>
    </row>
    <row r="326" spans="1:18" x14ac:dyDescent="0.25">
      <c r="A326" s="2" t="s">
        <v>578</v>
      </c>
      <c r="B326" s="2" t="s">
        <v>986</v>
      </c>
      <c r="C326" s="2" t="s">
        <v>987</v>
      </c>
      <c r="D326" s="2" t="s">
        <v>988</v>
      </c>
      <c r="E326" s="3">
        <v>45628</v>
      </c>
      <c r="F326" s="3">
        <v>46256</v>
      </c>
      <c r="G326" s="4">
        <v>0</v>
      </c>
      <c r="H326" s="10">
        <v>0.1125</v>
      </c>
      <c r="I326" s="10">
        <v>0.1076</v>
      </c>
      <c r="J326" s="5">
        <v>260910</v>
      </c>
      <c r="K326" s="5">
        <v>152660</v>
      </c>
      <c r="L326" s="5">
        <v>108250</v>
      </c>
      <c r="M326" s="4">
        <v>0.59</v>
      </c>
      <c r="N326" s="2">
        <v>5</v>
      </c>
      <c r="O326" s="5">
        <v>0</v>
      </c>
      <c r="P326" s="5">
        <v>1154</v>
      </c>
      <c r="Q326" s="3">
        <v>46023</v>
      </c>
      <c r="R326" s="6">
        <f t="shared" si="15"/>
        <v>0</v>
      </c>
    </row>
    <row r="327" spans="1:18" x14ac:dyDescent="0.25">
      <c r="A327" s="2" t="s">
        <v>578</v>
      </c>
      <c r="B327" s="2" t="s">
        <v>989</v>
      </c>
      <c r="C327" s="2" t="s">
        <v>990</v>
      </c>
      <c r="D327" s="2" t="s">
        <v>991</v>
      </c>
      <c r="E327" s="3">
        <v>45630</v>
      </c>
      <c r="F327" s="3">
        <v>45995</v>
      </c>
      <c r="G327" s="4">
        <v>0</v>
      </c>
      <c r="H327" s="10">
        <v>0.115</v>
      </c>
      <c r="I327" s="10">
        <v>0.114</v>
      </c>
      <c r="J327" s="5">
        <v>770000</v>
      </c>
      <c r="K327" s="5">
        <v>745218</v>
      </c>
      <c r="L327" s="5">
        <v>24782</v>
      </c>
      <c r="M327" s="4">
        <v>0.97</v>
      </c>
      <c r="N327" s="2">
        <v>4</v>
      </c>
      <c r="O327" s="5">
        <v>0</v>
      </c>
      <c r="P327" s="5">
        <v>7142</v>
      </c>
      <c r="Q327" s="3">
        <v>46023</v>
      </c>
      <c r="R327" s="6">
        <f t="shared" si="15"/>
        <v>0</v>
      </c>
    </row>
    <row r="328" spans="1:18" x14ac:dyDescent="0.25">
      <c r="A328" s="2" t="s">
        <v>578</v>
      </c>
      <c r="B328" s="2" t="s">
        <v>992</v>
      </c>
      <c r="C328" s="2" t="s">
        <v>993</v>
      </c>
      <c r="D328" s="2" t="s">
        <v>994</v>
      </c>
      <c r="E328" s="3">
        <v>45630</v>
      </c>
      <c r="F328" s="3">
        <v>45995</v>
      </c>
      <c r="G328" s="4">
        <v>0</v>
      </c>
      <c r="H328" s="10">
        <v>0.1075</v>
      </c>
      <c r="I328" s="10">
        <v>0.1062</v>
      </c>
      <c r="J328" s="5">
        <v>441000</v>
      </c>
      <c r="K328" s="5">
        <v>441000</v>
      </c>
      <c r="L328" s="5">
        <v>0</v>
      </c>
      <c r="M328" s="4">
        <v>1</v>
      </c>
      <c r="N328" s="2">
        <v>1</v>
      </c>
      <c r="O328" s="5">
        <v>7814</v>
      </c>
      <c r="P328" s="5">
        <v>4082</v>
      </c>
      <c r="Q328" s="3">
        <v>45962</v>
      </c>
      <c r="R328" s="6">
        <f t="shared" si="15"/>
        <v>0</v>
      </c>
    </row>
    <row r="329" spans="1:18" x14ac:dyDescent="0.25">
      <c r="A329" s="2" t="s">
        <v>578</v>
      </c>
      <c r="B329" s="2" t="s">
        <v>995</v>
      </c>
      <c r="C329" s="2" t="s">
        <v>996</v>
      </c>
      <c r="D329" s="2" t="s">
        <v>997</v>
      </c>
      <c r="E329" s="3">
        <v>45630</v>
      </c>
      <c r="F329" s="3">
        <v>45995</v>
      </c>
      <c r="G329" s="4">
        <v>0</v>
      </c>
      <c r="H329" s="10">
        <v>0.115</v>
      </c>
      <c r="I329" s="10">
        <v>0.114</v>
      </c>
      <c r="J329" s="5">
        <v>490000</v>
      </c>
      <c r="K329" s="5">
        <v>490000</v>
      </c>
      <c r="L329" s="5">
        <v>0</v>
      </c>
      <c r="M329" s="4">
        <v>1</v>
      </c>
      <c r="N329" s="2">
        <v>12</v>
      </c>
      <c r="O329" s="5">
        <v>0</v>
      </c>
      <c r="P329" s="5">
        <v>4696</v>
      </c>
      <c r="Q329" s="3">
        <v>46023</v>
      </c>
      <c r="R329" s="6">
        <f t="shared" si="15"/>
        <v>0</v>
      </c>
    </row>
    <row r="330" spans="1:18" x14ac:dyDescent="0.25">
      <c r="A330" s="2" t="s">
        <v>578</v>
      </c>
      <c r="B330" s="2" t="s">
        <v>998</v>
      </c>
      <c r="C330" s="2" t="s">
        <v>999</v>
      </c>
      <c r="D330" s="2" t="s">
        <v>1000</v>
      </c>
      <c r="E330" s="3">
        <v>45632</v>
      </c>
      <c r="F330" s="3">
        <v>46179</v>
      </c>
      <c r="G330" s="4">
        <v>0</v>
      </c>
      <c r="H330" s="10">
        <v>0.1125</v>
      </c>
      <c r="I330" s="10">
        <v>0.1101</v>
      </c>
      <c r="J330" s="5">
        <v>857700</v>
      </c>
      <c r="K330" s="5">
        <v>857700</v>
      </c>
      <c r="L330" s="5">
        <v>0</v>
      </c>
      <c r="M330" s="4">
        <v>1</v>
      </c>
      <c r="N330" s="2">
        <v>5</v>
      </c>
      <c r="O330" s="5">
        <v>0</v>
      </c>
      <c r="P330" s="5">
        <v>8041</v>
      </c>
      <c r="Q330" s="3">
        <v>46023</v>
      </c>
      <c r="R330" s="6">
        <f t="shared" si="15"/>
        <v>0</v>
      </c>
    </row>
    <row r="331" spans="1:18" x14ac:dyDescent="0.25">
      <c r="A331" s="2" t="s">
        <v>578</v>
      </c>
      <c r="B331" s="2" t="s">
        <v>1001</v>
      </c>
      <c r="C331" s="2" t="s">
        <v>1002</v>
      </c>
      <c r="D331" s="2" t="s">
        <v>1003</v>
      </c>
      <c r="E331" s="3">
        <v>45632</v>
      </c>
      <c r="F331" s="3">
        <v>46179</v>
      </c>
      <c r="G331" s="4">
        <v>0</v>
      </c>
      <c r="H331" s="10">
        <v>0.1075</v>
      </c>
      <c r="I331" s="10">
        <v>0.1062</v>
      </c>
      <c r="J331" s="5">
        <v>138500</v>
      </c>
      <c r="K331" s="5">
        <v>103000</v>
      </c>
      <c r="L331" s="5">
        <v>35500</v>
      </c>
      <c r="M331" s="4">
        <v>0.74</v>
      </c>
      <c r="N331" s="2">
        <v>2</v>
      </c>
      <c r="O331" s="5">
        <v>0</v>
      </c>
      <c r="P331" s="5">
        <v>923</v>
      </c>
      <c r="Q331" s="3">
        <v>46023</v>
      </c>
      <c r="R331" s="6">
        <f t="shared" si="15"/>
        <v>0</v>
      </c>
    </row>
    <row r="332" spans="1:18" x14ac:dyDescent="0.25">
      <c r="A332" s="2" t="s">
        <v>578</v>
      </c>
      <c r="B332" s="2" t="s">
        <v>1004</v>
      </c>
      <c r="C332" s="2" t="s">
        <v>1005</v>
      </c>
      <c r="D332" s="2" t="s">
        <v>1006</v>
      </c>
      <c r="E332" s="3">
        <v>45635</v>
      </c>
      <c r="F332" s="3">
        <v>46000</v>
      </c>
      <c r="G332" s="4">
        <v>0</v>
      </c>
      <c r="H332" s="10">
        <v>0.105</v>
      </c>
      <c r="I332" s="10">
        <v>0.104</v>
      </c>
      <c r="J332" s="5">
        <v>2166500</v>
      </c>
      <c r="K332" s="5">
        <v>2113310</v>
      </c>
      <c r="L332" s="5">
        <v>53190</v>
      </c>
      <c r="M332" s="4">
        <v>0.98</v>
      </c>
      <c r="N332" s="2">
        <v>11</v>
      </c>
      <c r="O332" s="5">
        <v>18371</v>
      </c>
      <c r="P332" s="5">
        <v>18371</v>
      </c>
      <c r="Q332" s="3">
        <v>45992</v>
      </c>
      <c r="R332" s="6">
        <f t="shared" si="15"/>
        <v>0</v>
      </c>
    </row>
    <row r="333" spans="1:18" x14ac:dyDescent="0.25">
      <c r="A333" s="2" t="s">
        <v>578</v>
      </c>
      <c r="B333" s="2" t="s">
        <v>1007</v>
      </c>
      <c r="C333" s="2" t="s">
        <v>1008</v>
      </c>
      <c r="D333" s="2" t="s">
        <v>1009</v>
      </c>
      <c r="E333" s="3">
        <v>45635</v>
      </c>
      <c r="F333" s="3">
        <v>46000</v>
      </c>
      <c r="G333" s="4">
        <v>0</v>
      </c>
      <c r="H333" s="10">
        <v>0.11</v>
      </c>
      <c r="I333" s="10">
        <v>0.1071</v>
      </c>
      <c r="J333" s="5">
        <v>348000</v>
      </c>
      <c r="K333" s="5">
        <v>348000</v>
      </c>
      <c r="L333" s="5">
        <v>0</v>
      </c>
      <c r="M333" s="4">
        <v>1</v>
      </c>
      <c r="N333" s="2">
        <v>5</v>
      </c>
      <c r="O333" s="5">
        <v>0</v>
      </c>
      <c r="P333" s="5">
        <v>3031</v>
      </c>
      <c r="Q333" s="3">
        <v>46023</v>
      </c>
      <c r="R333" s="6">
        <f t="shared" si="15"/>
        <v>0</v>
      </c>
    </row>
    <row r="334" spans="1:18" x14ac:dyDescent="0.25">
      <c r="A334" s="2" t="s">
        <v>578</v>
      </c>
      <c r="B334" s="2" t="s">
        <v>1010</v>
      </c>
      <c r="C334" s="2" t="s">
        <v>1011</v>
      </c>
      <c r="D334" s="2" t="s">
        <v>1012</v>
      </c>
      <c r="E334" s="3">
        <v>45636</v>
      </c>
      <c r="F334" s="3">
        <v>46001</v>
      </c>
      <c r="G334" s="4">
        <v>0</v>
      </c>
      <c r="H334" s="10">
        <v>0.1099</v>
      </c>
      <c r="I334" s="10">
        <v>0.1071</v>
      </c>
      <c r="J334" s="5">
        <v>494200</v>
      </c>
      <c r="K334" s="5">
        <v>476150</v>
      </c>
      <c r="L334" s="5">
        <v>18050</v>
      </c>
      <c r="M334" s="4">
        <v>0.96</v>
      </c>
      <c r="N334" s="2">
        <v>2</v>
      </c>
      <c r="O334" s="5">
        <v>0</v>
      </c>
      <c r="P334" s="5">
        <v>4031</v>
      </c>
      <c r="Q334" s="3">
        <v>46023</v>
      </c>
      <c r="R334" s="6">
        <f t="shared" si="15"/>
        <v>0</v>
      </c>
    </row>
    <row r="335" spans="1:18" x14ac:dyDescent="0.25">
      <c r="A335" s="2" t="s">
        <v>578</v>
      </c>
      <c r="B335" s="2" t="s">
        <v>1013</v>
      </c>
      <c r="C335" s="2" t="s">
        <v>1014</v>
      </c>
      <c r="D335" s="2" t="s">
        <v>1015</v>
      </c>
      <c r="E335" s="3">
        <v>45638</v>
      </c>
      <c r="F335" s="3">
        <v>46003</v>
      </c>
      <c r="G335" s="4">
        <v>0</v>
      </c>
      <c r="H335" s="10">
        <v>0.1075</v>
      </c>
      <c r="I335" s="10">
        <v>0.1062</v>
      </c>
      <c r="J335" s="5">
        <v>525000</v>
      </c>
      <c r="K335" s="5">
        <v>508681</v>
      </c>
      <c r="L335" s="5">
        <v>16319</v>
      </c>
      <c r="M335" s="4">
        <v>0.97</v>
      </c>
      <c r="N335" s="2">
        <v>3</v>
      </c>
      <c r="O335" s="5">
        <v>4557</v>
      </c>
      <c r="P335" s="5">
        <v>4557</v>
      </c>
      <c r="Q335" s="3">
        <v>45992</v>
      </c>
      <c r="R335" s="6">
        <f t="shared" si="15"/>
        <v>0</v>
      </c>
    </row>
    <row r="336" spans="1:18" x14ac:dyDescent="0.25">
      <c r="A336" s="2" t="s">
        <v>578</v>
      </c>
      <c r="B336" s="2" t="s">
        <v>1016</v>
      </c>
      <c r="C336" s="2" t="s">
        <v>1017</v>
      </c>
      <c r="D336" s="2" t="s">
        <v>1018</v>
      </c>
      <c r="E336" s="3">
        <v>45638</v>
      </c>
      <c r="F336" s="3">
        <v>46003</v>
      </c>
      <c r="G336" s="4">
        <v>0</v>
      </c>
      <c r="H336" s="10">
        <v>0.105</v>
      </c>
      <c r="I336" s="10">
        <v>0.104</v>
      </c>
      <c r="J336" s="5">
        <v>464350</v>
      </c>
      <c r="K336" s="5">
        <v>464350</v>
      </c>
      <c r="L336" s="5">
        <v>0</v>
      </c>
      <c r="M336" s="4">
        <v>1</v>
      </c>
      <c r="N336" s="2">
        <v>4</v>
      </c>
      <c r="O336" s="5">
        <v>0</v>
      </c>
      <c r="P336" s="5">
        <v>4063</v>
      </c>
      <c r="Q336" s="3">
        <v>46023</v>
      </c>
      <c r="R336" s="6">
        <f t="shared" si="15"/>
        <v>0</v>
      </c>
    </row>
    <row r="337" spans="1:18" x14ac:dyDescent="0.25">
      <c r="A337" s="2" t="s">
        <v>578</v>
      </c>
      <c r="B337" s="2" t="s">
        <v>1019</v>
      </c>
      <c r="C337" s="2" t="s">
        <v>1020</v>
      </c>
      <c r="D337" s="2" t="s">
        <v>1021</v>
      </c>
      <c r="E337" s="3">
        <v>45642</v>
      </c>
      <c r="F337" s="3">
        <v>46311</v>
      </c>
      <c r="G337" s="4">
        <v>0</v>
      </c>
      <c r="H337" s="10">
        <v>0.115</v>
      </c>
      <c r="I337" s="10">
        <v>0.114</v>
      </c>
      <c r="J337" s="5">
        <v>851760</v>
      </c>
      <c r="K337" s="5">
        <v>786661</v>
      </c>
      <c r="L337" s="5">
        <v>65099</v>
      </c>
      <c r="M337" s="4">
        <v>0.92</v>
      </c>
      <c r="N337" s="2">
        <v>17</v>
      </c>
      <c r="O337" s="5">
        <v>0</v>
      </c>
      <c r="P337" s="5">
        <v>7163</v>
      </c>
      <c r="Q337" s="3">
        <v>46023</v>
      </c>
      <c r="R337" s="6">
        <f t="shared" si="15"/>
        <v>0</v>
      </c>
    </row>
    <row r="338" spans="1:18" x14ac:dyDescent="0.25">
      <c r="A338" s="2" t="s">
        <v>578</v>
      </c>
      <c r="B338" s="2" t="s">
        <v>1022</v>
      </c>
      <c r="C338" s="2" t="s">
        <v>1023</v>
      </c>
      <c r="D338" s="2" t="s">
        <v>1024</v>
      </c>
      <c r="E338" s="3">
        <v>45642</v>
      </c>
      <c r="F338" s="3">
        <v>46007</v>
      </c>
      <c r="G338" s="4">
        <v>0</v>
      </c>
      <c r="H338" s="10">
        <v>0.115</v>
      </c>
      <c r="I338" s="10">
        <v>0.114</v>
      </c>
      <c r="J338" s="5">
        <v>866160</v>
      </c>
      <c r="K338" s="5">
        <v>648412</v>
      </c>
      <c r="L338" s="5">
        <v>217748</v>
      </c>
      <c r="M338" s="4">
        <v>0.75</v>
      </c>
      <c r="N338" s="2">
        <v>13</v>
      </c>
      <c r="O338" s="5">
        <v>0</v>
      </c>
      <c r="P338" s="5">
        <v>5658</v>
      </c>
      <c r="Q338" s="3">
        <v>46023</v>
      </c>
      <c r="R338" s="6">
        <f t="shared" si="15"/>
        <v>0</v>
      </c>
    </row>
    <row r="339" spans="1:18" x14ac:dyDescent="0.25">
      <c r="A339" s="2" t="s">
        <v>578</v>
      </c>
      <c r="B339" s="2" t="s">
        <v>1025</v>
      </c>
      <c r="C339" s="2" t="s">
        <v>1026</v>
      </c>
      <c r="D339" s="2" t="s">
        <v>1027</v>
      </c>
      <c r="E339" s="3">
        <v>45643</v>
      </c>
      <c r="F339" s="3">
        <v>46008</v>
      </c>
      <c r="G339" s="4">
        <v>0</v>
      </c>
      <c r="H339" s="10">
        <v>0.11</v>
      </c>
      <c r="I339" s="10">
        <v>0.1071</v>
      </c>
      <c r="J339" s="5">
        <v>260000</v>
      </c>
      <c r="K339" s="5">
        <v>260000</v>
      </c>
      <c r="L339" s="5">
        <v>0</v>
      </c>
      <c r="M339" s="4">
        <v>1</v>
      </c>
      <c r="N339" s="2">
        <v>6</v>
      </c>
      <c r="O339" s="5">
        <v>2383</v>
      </c>
      <c r="P339" s="5">
        <v>2383</v>
      </c>
      <c r="Q339" s="3">
        <v>45992</v>
      </c>
      <c r="R339" s="6">
        <f t="shared" si="15"/>
        <v>0</v>
      </c>
    </row>
    <row r="340" spans="1:18" x14ac:dyDescent="0.25">
      <c r="A340" s="2" t="s">
        <v>578</v>
      </c>
      <c r="B340" s="2" t="s">
        <v>1028</v>
      </c>
      <c r="C340" s="2" t="s">
        <v>1029</v>
      </c>
      <c r="D340" s="2" t="s">
        <v>1030</v>
      </c>
      <c r="E340" s="3">
        <v>45644</v>
      </c>
      <c r="F340" s="3">
        <v>46099</v>
      </c>
      <c r="G340" s="4">
        <v>0</v>
      </c>
      <c r="H340" s="10">
        <v>0.1075</v>
      </c>
      <c r="I340" s="10">
        <v>0.1065</v>
      </c>
      <c r="J340" s="5">
        <v>168915</v>
      </c>
      <c r="K340" s="5">
        <v>118915</v>
      </c>
      <c r="L340" s="5">
        <v>50000</v>
      </c>
      <c r="M340" s="4">
        <v>0.7</v>
      </c>
      <c r="N340" s="2">
        <v>1</v>
      </c>
      <c r="O340" s="5">
        <v>0</v>
      </c>
      <c r="P340" s="5">
        <v>1065</v>
      </c>
      <c r="Q340" s="3">
        <v>46023</v>
      </c>
      <c r="R340" s="6">
        <f t="shared" si="15"/>
        <v>0</v>
      </c>
    </row>
    <row r="341" spans="1:18" x14ac:dyDescent="0.25">
      <c r="A341" s="2" t="s">
        <v>578</v>
      </c>
      <c r="B341" s="2" t="s">
        <v>1031</v>
      </c>
      <c r="C341" s="2" t="s">
        <v>1032</v>
      </c>
      <c r="D341" s="2" t="s">
        <v>1033</v>
      </c>
      <c r="E341" s="3">
        <v>45645</v>
      </c>
      <c r="F341" s="3">
        <v>46192</v>
      </c>
      <c r="G341" s="4">
        <v>0</v>
      </c>
      <c r="H341" s="10">
        <v>0.105</v>
      </c>
      <c r="I341" s="10">
        <v>0.104</v>
      </c>
      <c r="J341" s="5">
        <v>333000</v>
      </c>
      <c r="K341" s="5">
        <v>333000</v>
      </c>
      <c r="L341" s="5">
        <v>0</v>
      </c>
      <c r="M341" s="4">
        <v>1</v>
      </c>
      <c r="N341" s="2">
        <v>1</v>
      </c>
      <c r="O341" s="5">
        <v>0</v>
      </c>
      <c r="P341" s="5">
        <v>2914</v>
      </c>
      <c r="Q341" s="3">
        <v>46023</v>
      </c>
      <c r="R341" s="6">
        <f t="shared" si="15"/>
        <v>0</v>
      </c>
    </row>
    <row r="342" spans="1:18" x14ac:dyDescent="0.25">
      <c r="A342" s="2" t="s">
        <v>578</v>
      </c>
      <c r="B342" s="2" t="s">
        <v>1034</v>
      </c>
      <c r="C342" s="2" t="s">
        <v>1035</v>
      </c>
      <c r="D342" s="2" t="s">
        <v>1036</v>
      </c>
      <c r="E342" s="3">
        <v>45646</v>
      </c>
      <c r="F342" s="3">
        <v>46011</v>
      </c>
      <c r="G342" s="4">
        <v>0</v>
      </c>
      <c r="H342" s="10">
        <v>0.1075</v>
      </c>
      <c r="I342" s="10">
        <v>0.1062</v>
      </c>
      <c r="J342" s="5">
        <v>466500</v>
      </c>
      <c r="K342" s="5">
        <v>396850</v>
      </c>
      <c r="L342" s="5">
        <v>69650</v>
      </c>
      <c r="M342" s="4">
        <v>0.85</v>
      </c>
      <c r="N342" s="2">
        <v>2</v>
      </c>
      <c r="O342" s="5">
        <v>0</v>
      </c>
      <c r="P342" s="5">
        <v>3555</v>
      </c>
      <c r="Q342" s="3">
        <v>46023</v>
      </c>
      <c r="R342" s="6">
        <f t="shared" si="15"/>
        <v>0</v>
      </c>
    </row>
    <row r="343" spans="1:18" x14ac:dyDescent="0.25">
      <c r="A343" s="2" t="s">
        <v>578</v>
      </c>
      <c r="B343" s="2" t="s">
        <v>1037</v>
      </c>
      <c r="C343" s="2" t="s">
        <v>1038</v>
      </c>
      <c r="D343" s="2" t="s">
        <v>1039</v>
      </c>
      <c r="E343" s="3">
        <v>45646</v>
      </c>
      <c r="F343" s="3">
        <v>46193</v>
      </c>
      <c r="G343" s="4">
        <v>0</v>
      </c>
      <c r="H343" s="10">
        <v>0.11749999999999999</v>
      </c>
      <c r="I343" s="10">
        <v>0.11650000000000001</v>
      </c>
      <c r="J343" s="5">
        <v>605000</v>
      </c>
      <c r="K343" s="5">
        <v>605000</v>
      </c>
      <c r="L343" s="5">
        <v>0</v>
      </c>
      <c r="M343" s="4">
        <v>1</v>
      </c>
      <c r="N343" s="2">
        <v>1</v>
      </c>
      <c r="O343" s="5">
        <v>0</v>
      </c>
      <c r="P343" s="5">
        <v>5924</v>
      </c>
      <c r="Q343" s="3">
        <v>46023</v>
      </c>
      <c r="R343" s="6">
        <f t="shared" si="15"/>
        <v>0</v>
      </c>
    </row>
    <row r="344" spans="1:18" x14ac:dyDescent="0.25">
      <c r="A344" s="2" t="s">
        <v>578</v>
      </c>
      <c r="B344" s="2" t="s">
        <v>1040</v>
      </c>
      <c r="C344" s="2" t="s">
        <v>1041</v>
      </c>
      <c r="D344" s="2" t="s">
        <v>1042</v>
      </c>
      <c r="E344" s="3">
        <v>45646</v>
      </c>
      <c r="F344" s="3">
        <v>46316</v>
      </c>
      <c r="G344" s="4">
        <v>0</v>
      </c>
      <c r="H344" s="10">
        <v>0.11</v>
      </c>
      <c r="I344" s="10">
        <v>0.1071</v>
      </c>
      <c r="J344" s="5">
        <v>110326</v>
      </c>
      <c r="K344" s="5">
        <v>84000</v>
      </c>
      <c r="L344" s="5">
        <v>26326</v>
      </c>
      <c r="M344" s="4">
        <v>0.76</v>
      </c>
      <c r="N344" s="2">
        <v>1</v>
      </c>
      <c r="O344" s="5">
        <v>0</v>
      </c>
      <c r="P344" s="5">
        <v>770</v>
      </c>
      <c r="Q344" s="3">
        <v>46023</v>
      </c>
      <c r="R344" s="6">
        <f t="shared" si="15"/>
        <v>0</v>
      </c>
    </row>
    <row r="345" spans="1:18" x14ac:dyDescent="0.25">
      <c r="A345" s="2" t="s">
        <v>578</v>
      </c>
      <c r="B345" s="2" t="s">
        <v>1043</v>
      </c>
      <c r="C345" s="2" t="s">
        <v>1044</v>
      </c>
      <c r="D345" s="2" t="s">
        <v>1045</v>
      </c>
      <c r="E345" s="3">
        <v>45649</v>
      </c>
      <c r="F345" s="3">
        <v>46014</v>
      </c>
      <c r="G345" s="4">
        <v>0</v>
      </c>
      <c r="H345" s="10">
        <v>0.105</v>
      </c>
      <c r="I345" s="10">
        <v>0.104</v>
      </c>
      <c r="J345" s="5">
        <v>463500</v>
      </c>
      <c r="K345" s="5">
        <v>463500</v>
      </c>
      <c r="L345" s="5">
        <v>0</v>
      </c>
      <c r="M345" s="4">
        <v>1</v>
      </c>
      <c r="N345" s="2">
        <v>1</v>
      </c>
      <c r="O345" s="5">
        <v>0</v>
      </c>
      <c r="P345" s="5">
        <v>4056</v>
      </c>
      <c r="Q345" s="3">
        <v>46023</v>
      </c>
      <c r="R345" s="6">
        <f t="shared" si="15"/>
        <v>0</v>
      </c>
    </row>
    <row r="346" spans="1:18" x14ac:dyDescent="0.25">
      <c r="A346" s="2" t="s">
        <v>578</v>
      </c>
      <c r="B346" s="2" t="s">
        <v>1046</v>
      </c>
      <c r="C346" s="2" t="s">
        <v>1047</v>
      </c>
      <c r="D346" s="2" t="s">
        <v>1048</v>
      </c>
      <c r="E346" s="3">
        <v>45653</v>
      </c>
      <c r="F346" s="3">
        <v>46018</v>
      </c>
      <c r="G346" s="4">
        <v>0</v>
      </c>
      <c r="H346" s="10">
        <v>0.1075</v>
      </c>
      <c r="I346" s="10">
        <v>0.1062</v>
      </c>
      <c r="J346" s="5">
        <v>550550</v>
      </c>
      <c r="K346" s="5">
        <v>546373</v>
      </c>
      <c r="L346" s="5">
        <v>4177</v>
      </c>
      <c r="M346" s="4">
        <v>0.99</v>
      </c>
      <c r="N346" s="2">
        <v>4</v>
      </c>
      <c r="O346" s="5">
        <v>0</v>
      </c>
      <c r="P346" s="5">
        <v>4895</v>
      </c>
      <c r="Q346" s="3">
        <v>46023</v>
      </c>
      <c r="R346" s="6">
        <f t="shared" si="15"/>
        <v>0</v>
      </c>
    </row>
    <row r="347" spans="1:18" x14ac:dyDescent="0.25">
      <c r="A347" s="2" t="s">
        <v>578</v>
      </c>
      <c r="B347" s="2" t="s">
        <v>1049</v>
      </c>
      <c r="C347" s="2" t="s">
        <v>1050</v>
      </c>
      <c r="D347" s="2" t="s">
        <v>1051</v>
      </c>
      <c r="E347" s="3">
        <v>45656</v>
      </c>
      <c r="F347" s="3">
        <v>46021</v>
      </c>
      <c r="G347" s="4">
        <v>0</v>
      </c>
      <c r="H347" s="10">
        <v>0.105</v>
      </c>
      <c r="I347" s="10">
        <v>0.104</v>
      </c>
      <c r="J347" s="5">
        <v>441000</v>
      </c>
      <c r="K347" s="5">
        <v>441000</v>
      </c>
      <c r="L347" s="5">
        <v>0</v>
      </c>
      <c r="M347" s="4">
        <v>1</v>
      </c>
      <c r="N347" s="2">
        <v>1</v>
      </c>
      <c r="O347" s="5">
        <v>0</v>
      </c>
      <c r="P347" s="5">
        <v>3859</v>
      </c>
      <c r="Q347" s="3">
        <v>46023</v>
      </c>
      <c r="R347" s="6">
        <f t="shared" si="15"/>
        <v>0</v>
      </c>
    </row>
    <row r="348" spans="1:18" x14ac:dyDescent="0.25">
      <c r="A348" s="2" t="s">
        <v>578</v>
      </c>
      <c r="B348" s="2" t="s">
        <v>1052</v>
      </c>
      <c r="C348" s="2" t="s">
        <v>1053</v>
      </c>
      <c r="D348" s="2" t="s">
        <v>1054</v>
      </c>
      <c r="E348" s="3">
        <v>45656</v>
      </c>
      <c r="F348" s="3">
        <v>46173</v>
      </c>
      <c r="G348" s="4">
        <v>0</v>
      </c>
      <c r="H348" s="10">
        <v>0.1075</v>
      </c>
      <c r="I348" s="10">
        <v>0.1062</v>
      </c>
      <c r="J348" s="5">
        <v>814200</v>
      </c>
      <c r="K348" s="5">
        <v>675000</v>
      </c>
      <c r="L348" s="5">
        <v>139200</v>
      </c>
      <c r="M348" s="4">
        <v>0.83</v>
      </c>
      <c r="N348" s="2">
        <v>1</v>
      </c>
      <c r="O348" s="5">
        <v>0</v>
      </c>
      <c r="P348" s="5">
        <v>6047</v>
      </c>
      <c r="Q348" s="3">
        <v>46023</v>
      </c>
      <c r="R348" s="6">
        <f t="shared" si="15"/>
        <v>0</v>
      </c>
    </row>
    <row r="349" spans="1:18" x14ac:dyDescent="0.25">
      <c r="A349" s="2" t="s">
        <v>578</v>
      </c>
      <c r="B349" s="2" t="s">
        <v>1055</v>
      </c>
      <c r="C349" s="2" t="s">
        <v>1056</v>
      </c>
      <c r="D349" s="2" t="s">
        <v>1057</v>
      </c>
      <c r="E349" s="3">
        <v>45660</v>
      </c>
      <c r="F349" s="3">
        <v>46025</v>
      </c>
      <c r="G349" s="4">
        <v>0</v>
      </c>
      <c r="H349" s="10">
        <v>0.115</v>
      </c>
      <c r="I349" s="10">
        <v>0.114</v>
      </c>
      <c r="J349" s="5">
        <v>399000</v>
      </c>
      <c r="K349" s="5">
        <v>399000</v>
      </c>
      <c r="L349" s="5">
        <v>0</v>
      </c>
      <c r="M349" s="4">
        <v>1</v>
      </c>
      <c r="N349" s="2">
        <v>7</v>
      </c>
      <c r="O349" s="5">
        <v>0</v>
      </c>
      <c r="P349" s="5">
        <v>3824</v>
      </c>
      <c r="Q349" s="3">
        <v>46023</v>
      </c>
      <c r="R349" s="6">
        <f t="shared" si="15"/>
        <v>0</v>
      </c>
    </row>
    <row r="350" spans="1:18" x14ac:dyDescent="0.25">
      <c r="A350" s="2" t="s">
        <v>578</v>
      </c>
      <c r="B350" s="2" t="s">
        <v>1058</v>
      </c>
      <c r="C350" s="2" t="s">
        <v>1059</v>
      </c>
      <c r="D350" s="2" t="s">
        <v>1060</v>
      </c>
      <c r="E350" s="3">
        <v>45660</v>
      </c>
      <c r="F350" s="3">
        <v>46025</v>
      </c>
      <c r="G350" s="4">
        <v>0</v>
      </c>
      <c r="H350" s="10">
        <v>0.11749999999999999</v>
      </c>
      <c r="I350" s="10">
        <v>0.11650000000000001</v>
      </c>
      <c r="J350" s="5">
        <v>940500</v>
      </c>
      <c r="K350" s="5">
        <v>644989</v>
      </c>
      <c r="L350" s="5">
        <v>295511</v>
      </c>
      <c r="M350" s="4">
        <v>0.69</v>
      </c>
      <c r="N350" s="2">
        <v>9</v>
      </c>
      <c r="O350" s="5">
        <v>0</v>
      </c>
      <c r="P350" s="5">
        <v>5722</v>
      </c>
      <c r="Q350" s="3">
        <v>46023</v>
      </c>
      <c r="R350" s="6">
        <f t="shared" si="15"/>
        <v>0</v>
      </c>
    </row>
    <row r="351" spans="1:18" x14ac:dyDescent="0.25">
      <c r="A351" s="2" t="s">
        <v>578</v>
      </c>
      <c r="B351" s="2" t="s">
        <v>1061</v>
      </c>
      <c r="C351" s="2" t="s">
        <v>1062</v>
      </c>
      <c r="D351" s="2" t="s">
        <v>1063</v>
      </c>
      <c r="E351" s="3">
        <v>45666</v>
      </c>
      <c r="F351" s="3">
        <v>46031</v>
      </c>
      <c r="G351" s="4">
        <v>0</v>
      </c>
      <c r="H351" s="10">
        <v>0.11</v>
      </c>
      <c r="I351" s="10">
        <v>0.1071</v>
      </c>
      <c r="J351" s="5">
        <v>214780</v>
      </c>
      <c r="K351" s="5">
        <v>208950</v>
      </c>
      <c r="L351" s="5">
        <v>5830</v>
      </c>
      <c r="M351" s="4">
        <v>0.97</v>
      </c>
      <c r="N351" s="2">
        <v>5</v>
      </c>
      <c r="O351" s="5">
        <v>0</v>
      </c>
      <c r="P351" s="5">
        <v>1724</v>
      </c>
      <c r="Q351" s="3">
        <v>46023</v>
      </c>
      <c r="R351" s="6">
        <f t="shared" ref="R351:R379" si="16">G351*K351</f>
        <v>0</v>
      </c>
    </row>
    <row r="352" spans="1:18" x14ac:dyDescent="0.25">
      <c r="A352" s="2" t="s">
        <v>578</v>
      </c>
      <c r="B352" s="2" t="s">
        <v>1064</v>
      </c>
      <c r="C352" s="2" t="s">
        <v>1065</v>
      </c>
      <c r="D352" s="2" t="s">
        <v>1066</v>
      </c>
      <c r="E352" s="3">
        <v>45667</v>
      </c>
      <c r="F352" s="3">
        <v>46032</v>
      </c>
      <c r="G352" s="4">
        <v>0</v>
      </c>
      <c r="H352" s="10">
        <v>0.1075</v>
      </c>
      <c r="I352" s="10">
        <v>0.1062</v>
      </c>
      <c r="J352" s="5">
        <v>427500</v>
      </c>
      <c r="K352" s="5">
        <v>427500</v>
      </c>
      <c r="L352" s="5">
        <v>0</v>
      </c>
      <c r="M352" s="4">
        <v>1</v>
      </c>
      <c r="N352" s="2">
        <v>1</v>
      </c>
      <c r="O352" s="5">
        <v>3830</v>
      </c>
      <c r="P352" s="5">
        <v>3830</v>
      </c>
      <c r="Q352" s="3">
        <v>45992</v>
      </c>
      <c r="R352" s="6">
        <f t="shared" si="16"/>
        <v>0</v>
      </c>
    </row>
    <row r="353" spans="1:18" x14ac:dyDescent="0.25">
      <c r="A353" s="2" t="s">
        <v>578</v>
      </c>
      <c r="B353" s="2" t="s">
        <v>1067</v>
      </c>
      <c r="C353" s="2" t="s">
        <v>1068</v>
      </c>
      <c r="D353" s="2" t="s">
        <v>1069</v>
      </c>
      <c r="E353" s="3">
        <v>45667</v>
      </c>
      <c r="F353" s="3">
        <v>46032</v>
      </c>
      <c r="G353" s="4">
        <v>0</v>
      </c>
      <c r="H353" s="10">
        <v>0.11</v>
      </c>
      <c r="I353" s="10">
        <v>0.1071</v>
      </c>
      <c r="J353" s="5">
        <v>502400</v>
      </c>
      <c r="K353" s="5">
        <v>498560</v>
      </c>
      <c r="L353" s="5">
        <v>3840</v>
      </c>
      <c r="M353" s="4">
        <v>0.99</v>
      </c>
      <c r="N353" s="2">
        <v>9</v>
      </c>
      <c r="O353" s="5">
        <v>4435</v>
      </c>
      <c r="P353" s="5">
        <v>4435</v>
      </c>
      <c r="Q353" s="3">
        <v>45992</v>
      </c>
      <c r="R353" s="6">
        <f t="shared" si="16"/>
        <v>0</v>
      </c>
    </row>
    <row r="354" spans="1:18" x14ac:dyDescent="0.25">
      <c r="A354" s="2" t="s">
        <v>578</v>
      </c>
      <c r="B354" s="2" t="s">
        <v>1070</v>
      </c>
      <c r="C354" s="2" t="s">
        <v>1071</v>
      </c>
      <c r="D354" s="2" t="s">
        <v>1072</v>
      </c>
      <c r="E354" s="3">
        <v>45667</v>
      </c>
      <c r="F354" s="3">
        <v>46213</v>
      </c>
      <c r="G354" s="4">
        <v>0</v>
      </c>
      <c r="H354" s="10">
        <v>0.1075</v>
      </c>
      <c r="I354" s="10">
        <v>0.1062</v>
      </c>
      <c r="J354" s="5">
        <v>132200</v>
      </c>
      <c r="K354" s="5">
        <v>129000</v>
      </c>
      <c r="L354" s="5">
        <v>3200</v>
      </c>
      <c r="M354" s="4">
        <v>0.98</v>
      </c>
      <c r="N354" s="2">
        <v>3</v>
      </c>
      <c r="O354" s="5">
        <v>0</v>
      </c>
      <c r="P354" s="5">
        <v>1156</v>
      </c>
      <c r="Q354" s="3">
        <v>46023</v>
      </c>
      <c r="R354" s="6">
        <f t="shared" si="16"/>
        <v>0</v>
      </c>
    </row>
    <row r="355" spans="1:18" x14ac:dyDescent="0.25">
      <c r="A355" s="2" t="s">
        <v>578</v>
      </c>
      <c r="B355" s="2" t="s">
        <v>1073</v>
      </c>
      <c r="C355" s="2" t="s">
        <v>1074</v>
      </c>
      <c r="D355" s="2" t="s">
        <v>1075</v>
      </c>
      <c r="E355" s="3">
        <v>45667</v>
      </c>
      <c r="F355" s="3">
        <v>46327</v>
      </c>
      <c r="G355" s="4">
        <v>0</v>
      </c>
      <c r="H355" s="10">
        <v>0.11</v>
      </c>
      <c r="I355" s="10">
        <v>0.1071</v>
      </c>
      <c r="J355" s="5">
        <v>321600</v>
      </c>
      <c r="K355" s="5">
        <v>321600</v>
      </c>
      <c r="L355" s="5">
        <v>0</v>
      </c>
      <c r="M355" s="4">
        <v>1</v>
      </c>
      <c r="N355" s="2">
        <v>3</v>
      </c>
      <c r="O355" s="5">
        <v>2948</v>
      </c>
      <c r="P355" s="5">
        <v>2948</v>
      </c>
      <c r="Q355" s="3">
        <v>45992</v>
      </c>
      <c r="R355" s="6">
        <f t="shared" si="16"/>
        <v>0</v>
      </c>
    </row>
    <row r="356" spans="1:18" x14ac:dyDescent="0.25">
      <c r="A356" s="2" t="s">
        <v>578</v>
      </c>
      <c r="B356" s="2" t="s">
        <v>1076</v>
      </c>
      <c r="C356" s="2" t="s">
        <v>1077</v>
      </c>
      <c r="D356" s="2" t="s">
        <v>1078</v>
      </c>
      <c r="E356" s="3">
        <v>45667</v>
      </c>
      <c r="F356" s="3">
        <v>46032</v>
      </c>
      <c r="G356" s="4">
        <v>0</v>
      </c>
      <c r="H356" s="10">
        <v>0.11</v>
      </c>
      <c r="I356" s="10">
        <v>0.1071</v>
      </c>
      <c r="J356" s="5">
        <v>102900</v>
      </c>
      <c r="K356" s="5">
        <v>100538</v>
      </c>
      <c r="L356" s="5">
        <v>2362</v>
      </c>
      <c r="M356" s="4">
        <v>0.98</v>
      </c>
      <c r="N356" s="2">
        <v>4</v>
      </c>
      <c r="O356" s="5">
        <v>0</v>
      </c>
      <c r="P356" s="5">
        <v>943</v>
      </c>
      <c r="Q356" s="3">
        <v>46023</v>
      </c>
      <c r="R356" s="6">
        <f t="shared" si="16"/>
        <v>0</v>
      </c>
    </row>
    <row r="357" spans="1:18" x14ac:dyDescent="0.25">
      <c r="A357" s="2" t="s">
        <v>578</v>
      </c>
      <c r="B357" s="2" t="s">
        <v>1079</v>
      </c>
      <c r="C357" s="2" t="s">
        <v>1080</v>
      </c>
      <c r="D357" s="2" t="s">
        <v>1081</v>
      </c>
      <c r="E357" s="3">
        <v>45670</v>
      </c>
      <c r="F357" s="3">
        <v>46216</v>
      </c>
      <c r="G357" s="4">
        <v>0</v>
      </c>
      <c r="H357" s="10">
        <v>0.11</v>
      </c>
      <c r="I357" s="10">
        <v>0.1071</v>
      </c>
      <c r="J357" s="5">
        <v>65000</v>
      </c>
      <c r="K357" s="5">
        <v>65000</v>
      </c>
      <c r="L357" s="5">
        <v>0</v>
      </c>
      <c r="M357" s="4">
        <v>1</v>
      </c>
      <c r="N357" s="2">
        <v>2</v>
      </c>
      <c r="O357" s="5">
        <v>0</v>
      </c>
      <c r="P357" s="5">
        <v>596</v>
      </c>
      <c r="Q357" s="3">
        <v>46023</v>
      </c>
      <c r="R357" s="6">
        <f t="shared" si="16"/>
        <v>0</v>
      </c>
    </row>
    <row r="358" spans="1:18" x14ac:dyDescent="0.25">
      <c r="A358" s="2" t="s">
        <v>578</v>
      </c>
      <c r="B358" s="2" t="s">
        <v>1082</v>
      </c>
      <c r="C358" s="2" t="s">
        <v>1083</v>
      </c>
      <c r="D358" s="2" t="s">
        <v>1084</v>
      </c>
      <c r="E358" s="3">
        <v>45672</v>
      </c>
      <c r="F358" s="3">
        <v>46037</v>
      </c>
      <c r="G358" s="4">
        <v>0</v>
      </c>
      <c r="H358" s="10">
        <v>0.1075</v>
      </c>
      <c r="I358" s="10">
        <v>0.1062</v>
      </c>
      <c r="J358" s="5">
        <v>342000</v>
      </c>
      <c r="K358" s="5">
        <v>342000</v>
      </c>
      <c r="L358" s="5">
        <v>0</v>
      </c>
      <c r="M358" s="4">
        <v>1</v>
      </c>
      <c r="N358" s="2">
        <v>1</v>
      </c>
      <c r="O358" s="5">
        <v>0</v>
      </c>
      <c r="P358" s="5">
        <v>3064</v>
      </c>
      <c r="Q358" s="3">
        <v>46023</v>
      </c>
      <c r="R358" s="6">
        <f t="shared" si="16"/>
        <v>0</v>
      </c>
    </row>
    <row r="359" spans="1:18" x14ac:dyDescent="0.25">
      <c r="A359" s="2" t="s">
        <v>578</v>
      </c>
      <c r="B359" s="2" t="s">
        <v>1085</v>
      </c>
      <c r="C359" s="2" t="s">
        <v>1086</v>
      </c>
      <c r="D359" s="2" t="s">
        <v>1087</v>
      </c>
      <c r="E359" s="3">
        <v>45674</v>
      </c>
      <c r="F359" s="3">
        <v>46203</v>
      </c>
      <c r="G359" s="4">
        <v>0</v>
      </c>
      <c r="H359" s="10">
        <v>0.11</v>
      </c>
      <c r="I359" s="10">
        <v>0.1071</v>
      </c>
      <c r="J359" s="5">
        <v>1029955</v>
      </c>
      <c r="K359" s="5">
        <v>1026005</v>
      </c>
      <c r="L359" s="5">
        <v>3950</v>
      </c>
      <c r="M359" s="4">
        <v>1</v>
      </c>
      <c r="N359" s="2">
        <v>6</v>
      </c>
      <c r="O359" s="5">
        <v>9689</v>
      </c>
      <c r="P359" s="5">
        <v>9405</v>
      </c>
      <c r="Q359" s="3">
        <v>45992</v>
      </c>
      <c r="R359" s="6">
        <f t="shared" si="16"/>
        <v>0</v>
      </c>
    </row>
    <row r="360" spans="1:18" x14ac:dyDescent="0.25">
      <c r="A360" s="2" t="s">
        <v>578</v>
      </c>
      <c r="B360" s="2" t="s">
        <v>1088</v>
      </c>
      <c r="C360" s="2" t="s">
        <v>1089</v>
      </c>
      <c r="D360" s="2" t="s">
        <v>1090</v>
      </c>
      <c r="E360" s="3">
        <v>45674</v>
      </c>
      <c r="F360" s="3">
        <v>46039</v>
      </c>
      <c r="G360" s="4">
        <v>0</v>
      </c>
      <c r="H360" s="10">
        <v>0.1075</v>
      </c>
      <c r="I360" s="10">
        <v>0.1062</v>
      </c>
      <c r="J360" s="5">
        <v>348330</v>
      </c>
      <c r="K360" s="5">
        <v>348330</v>
      </c>
      <c r="L360" s="5">
        <v>0</v>
      </c>
      <c r="M360" s="4">
        <v>1</v>
      </c>
      <c r="N360" s="2">
        <v>4</v>
      </c>
      <c r="O360" s="5">
        <v>0</v>
      </c>
      <c r="P360" s="5">
        <v>3120</v>
      </c>
      <c r="Q360" s="3">
        <v>46023</v>
      </c>
      <c r="R360" s="6">
        <f t="shared" si="16"/>
        <v>0</v>
      </c>
    </row>
    <row r="361" spans="1:18" x14ac:dyDescent="0.25">
      <c r="A361" s="2" t="s">
        <v>578</v>
      </c>
      <c r="B361" s="2" t="s">
        <v>1091</v>
      </c>
      <c r="C361" s="2" t="s">
        <v>1092</v>
      </c>
      <c r="D361" s="2" t="s">
        <v>1093</v>
      </c>
      <c r="E361" s="3">
        <v>45674</v>
      </c>
      <c r="F361" s="3">
        <v>46039</v>
      </c>
      <c r="G361" s="4">
        <v>0</v>
      </c>
      <c r="H361" s="10">
        <v>0.1075</v>
      </c>
      <c r="I361" s="10">
        <v>0.1062</v>
      </c>
      <c r="J361" s="5">
        <v>246100</v>
      </c>
      <c r="K361" s="5">
        <v>220350</v>
      </c>
      <c r="L361" s="5">
        <v>25750</v>
      </c>
      <c r="M361" s="4">
        <v>0.9</v>
      </c>
      <c r="N361" s="2">
        <v>3</v>
      </c>
      <c r="O361" s="5">
        <v>0</v>
      </c>
      <c r="P361" s="5">
        <v>1974</v>
      </c>
      <c r="Q361" s="3">
        <v>46023</v>
      </c>
      <c r="R361" s="6">
        <f t="shared" si="16"/>
        <v>0</v>
      </c>
    </row>
    <row r="362" spans="1:18" x14ac:dyDescent="0.25">
      <c r="A362" s="2" t="s">
        <v>578</v>
      </c>
      <c r="B362" s="2" t="s">
        <v>1094</v>
      </c>
      <c r="C362" s="2" t="s">
        <v>1095</v>
      </c>
      <c r="D362" s="2" t="s">
        <v>1096</v>
      </c>
      <c r="E362" s="3">
        <v>45674</v>
      </c>
      <c r="F362" s="3">
        <v>46039</v>
      </c>
      <c r="G362" s="4">
        <v>0</v>
      </c>
      <c r="H362" s="10">
        <v>0.11</v>
      </c>
      <c r="I362" s="10">
        <v>0.1071</v>
      </c>
      <c r="J362" s="5">
        <v>273850</v>
      </c>
      <c r="K362" s="5">
        <v>273850</v>
      </c>
      <c r="L362" s="5">
        <v>0</v>
      </c>
      <c r="M362" s="4">
        <v>1</v>
      </c>
      <c r="N362" s="2">
        <v>2</v>
      </c>
      <c r="O362" s="5">
        <v>0</v>
      </c>
      <c r="P362" s="5">
        <v>2510</v>
      </c>
      <c r="Q362" s="3">
        <v>46023</v>
      </c>
      <c r="R362" s="6">
        <f t="shared" si="16"/>
        <v>0</v>
      </c>
    </row>
    <row r="363" spans="1:18" x14ac:dyDescent="0.25">
      <c r="A363" s="2" t="s">
        <v>578</v>
      </c>
      <c r="B363" s="2" t="s">
        <v>1097</v>
      </c>
      <c r="C363" s="2" t="s">
        <v>1098</v>
      </c>
      <c r="D363" s="2" t="s">
        <v>1099</v>
      </c>
      <c r="E363" s="3">
        <v>45678</v>
      </c>
      <c r="F363" s="3">
        <v>46295</v>
      </c>
      <c r="G363" s="4">
        <v>0</v>
      </c>
      <c r="H363" s="10">
        <v>0.11</v>
      </c>
      <c r="I363" s="10">
        <v>0.1071</v>
      </c>
      <c r="J363" s="5">
        <v>77000</v>
      </c>
      <c r="K363" s="5">
        <v>64000</v>
      </c>
      <c r="L363" s="5">
        <v>13000</v>
      </c>
      <c r="M363" s="4">
        <v>0.83</v>
      </c>
      <c r="N363" s="2">
        <v>4</v>
      </c>
      <c r="O363" s="5">
        <v>0</v>
      </c>
      <c r="P363" s="5">
        <v>706</v>
      </c>
      <c r="Q363" s="3">
        <v>46023</v>
      </c>
      <c r="R363" s="6">
        <f t="shared" si="16"/>
        <v>0</v>
      </c>
    </row>
    <row r="364" spans="1:18" x14ac:dyDescent="0.25">
      <c r="A364" s="2" t="s">
        <v>578</v>
      </c>
      <c r="B364" s="2" t="s">
        <v>1100</v>
      </c>
      <c r="C364" s="2" t="s">
        <v>1101</v>
      </c>
      <c r="D364" s="2" t="s">
        <v>1102</v>
      </c>
      <c r="E364" s="3">
        <v>45680</v>
      </c>
      <c r="F364" s="3">
        <v>46295</v>
      </c>
      <c r="G364" s="4">
        <v>0</v>
      </c>
      <c r="H364" s="10">
        <v>0.1115</v>
      </c>
      <c r="I364" s="10">
        <v>0.1074</v>
      </c>
      <c r="J364" s="5">
        <v>109800</v>
      </c>
      <c r="K364" s="5">
        <v>109800</v>
      </c>
      <c r="L364" s="5">
        <v>0</v>
      </c>
      <c r="M364" s="4">
        <v>1</v>
      </c>
      <c r="N364" s="2">
        <v>2</v>
      </c>
      <c r="O364" s="5">
        <v>0</v>
      </c>
      <c r="P364" s="5">
        <v>1020</v>
      </c>
      <c r="Q364" s="3">
        <v>46082</v>
      </c>
      <c r="R364" s="6">
        <f t="shared" si="16"/>
        <v>0</v>
      </c>
    </row>
    <row r="365" spans="1:18" x14ac:dyDescent="0.25">
      <c r="A365" s="2" t="s">
        <v>578</v>
      </c>
      <c r="B365" s="2" t="s">
        <v>1103</v>
      </c>
      <c r="C365" s="2" t="s">
        <v>1104</v>
      </c>
      <c r="D365" s="2" t="s">
        <v>1105</v>
      </c>
      <c r="E365" s="3">
        <v>45681</v>
      </c>
      <c r="F365" s="3">
        <v>46295</v>
      </c>
      <c r="G365" s="4">
        <v>0</v>
      </c>
      <c r="H365" s="10">
        <v>0.115</v>
      </c>
      <c r="I365" s="10">
        <v>0.114</v>
      </c>
      <c r="J365" s="5">
        <v>296898</v>
      </c>
      <c r="K365" s="5">
        <v>217772</v>
      </c>
      <c r="L365" s="5">
        <v>79126</v>
      </c>
      <c r="M365" s="4">
        <v>0.73</v>
      </c>
      <c r="N365" s="2">
        <v>15</v>
      </c>
      <c r="O365" s="5">
        <v>0</v>
      </c>
      <c r="P365" s="5">
        <v>2014</v>
      </c>
      <c r="Q365" s="3">
        <v>46023</v>
      </c>
      <c r="R365" s="6">
        <f t="shared" si="16"/>
        <v>0</v>
      </c>
    </row>
    <row r="366" spans="1:18" x14ac:dyDescent="0.25">
      <c r="A366" s="2" t="s">
        <v>578</v>
      </c>
      <c r="B366" s="2" t="s">
        <v>1106</v>
      </c>
      <c r="C366" s="2" t="s">
        <v>1107</v>
      </c>
      <c r="D366" s="2" t="s">
        <v>1108</v>
      </c>
      <c r="E366" s="3">
        <v>45681</v>
      </c>
      <c r="F366" s="3">
        <v>46319</v>
      </c>
      <c r="G366" s="4">
        <v>0</v>
      </c>
      <c r="H366" s="10">
        <v>0.1125</v>
      </c>
      <c r="I366" s="10">
        <v>0.1101</v>
      </c>
      <c r="J366" s="5">
        <v>59125</v>
      </c>
      <c r="K366" s="5">
        <v>34125</v>
      </c>
      <c r="L366" s="5">
        <v>25000</v>
      </c>
      <c r="M366" s="4">
        <v>0.57999999999999996</v>
      </c>
      <c r="N366" s="2">
        <v>1</v>
      </c>
      <c r="O366" s="5">
        <v>0</v>
      </c>
      <c r="P366" s="5">
        <v>554</v>
      </c>
      <c r="Q366" s="3">
        <v>46023</v>
      </c>
      <c r="R366" s="6">
        <f t="shared" si="16"/>
        <v>0</v>
      </c>
    </row>
    <row r="367" spans="1:18" x14ac:dyDescent="0.25">
      <c r="A367" s="2" t="s">
        <v>578</v>
      </c>
      <c r="B367" s="2" t="s">
        <v>1109</v>
      </c>
      <c r="C367" s="2" t="s">
        <v>1110</v>
      </c>
      <c r="D367" s="2" t="s">
        <v>1111</v>
      </c>
      <c r="E367" s="3">
        <v>45681</v>
      </c>
      <c r="F367" s="3">
        <v>46203</v>
      </c>
      <c r="G367" s="4">
        <v>0</v>
      </c>
      <c r="H367" s="10">
        <v>0.11</v>
      </c>
      <c r="I367" s="10">
        <v>0.1071</v>
      </c>
      <c r="J367" s="5">
        <v>833003</v>
      </c>
      <c r="K367" s="5">
        <v>788598</v>
      </c>
      <c r="L367" s="5">
        <v>44405</v>
      </c>
      <c r="M367" s="4">
        <v>0.95</v>
      </c>
      <c r="N367" s="2">
        <v>4</v>
      </c>
      <c r="O367" s="5">
        <v>0</v>
      </c>
      <c r="P367" s="5">
        <v>7229</v>
      </c>
      <c r="Q367" s="3">
        <v>46023</v>
      </c>
      <c r="R367" s="6">
        <f t="shared" si="16"/>
        <v>0</v>
      </c>
    </row>
    <row r="368" spans="1:18" x14ac:dyDescent="0.25">
      <c r="A368" s="2" t="s">
        <v>578</v>
      </c>
      <c r="B368" s="2" t="s">
        <v>1112</v>
      </c>
      <c r="C368" s="2" t="s">
        <v>1113</v>
      </c>
      <c r="D368" s="2" t="s">
        <v>1114</v>
      </c>
      <c r="E368" s="3">
        <v>45681</v>
      </c>
      <c r="F368" s="3">
        <v>46136</v>
      </c>
      <c r="G368" s="4">
        <v>0</v>
      </c>
      <c r="H368" s="10">
        <v>0.105</v>
      </c>
      <c r="I368" s="10">
        <v>0.104</v>
      </c>
      <c r="J368" s="5">
        <v>954000</v>
      </c>
      <c r="K368" s="5">
        <v>942000</v>
      </c>
      <c r="L368" s="5">
        <v>12000</v>
      </c>
      <c r="M368" s="4">
        <v>0.99</v>
      </c>
      <c r="N368" s="2">
        <v>3</v>
      </c>
      <c r="O368" s="5">
        <v>0</v>
      </c>
      <c r="P368" s="5">
        <v>8242</v>
      </c>
      <c r="Q368" s="3">
        <v>46023</v>
      </c>
      <c r="R368" s="6">
        <f t="shared" si="16"/>
        <v>0</v>
      </c>
    </row>
    <row r="369" spans="1:18" x14ac:dyDescent="0.25">
      <c r="A369" s="2" t="s">
        <v>578</v>
      </c>
      <c r="B369" s="2" t="s">
        <v>1115</v>
      </c>
      <c r="C369" s="2" t="s">
        <v>1116</v>
      </c>
      <c r="D369" s="2" t="s">
        <v>1117</v>
      </c>
      <c r="E369" s="3">
        <v>45684</v>
      </c>
      <c r="F369" s="3">
        <v>46049</v>
      </c>
      <c r="G369" s="4">
        <v>0</v>
      </c>
      <c r="H369" s="10">
        <v>0.11</v>
      </c>
      <c r="I369" s="10">
        <v>0.1071</v>
      </c>
      <c r="J369" s="5">
        <v>231300</v>
      </c>
      <c r="K369" s="5">
        <v>231300</v>
      </c>
      <c r="L369" s="5">
        <v>0</v>
      </c>
      <c r="M369" s="4">
        <v>1</v>
      </c>
      <c r="N369" s="2">
        <v>2</v>
      </c>
      <c r="O369" s="5">
        <v>0</v>
      </c>
      <c r="P369" s="5">
        <v>2120</v>
      </c>
      <c r="Q369" s="3">
        <v>46023</v>
      </c>
      <c r="R369" s="6">
        <f t="shared" si="16"/>
        <v>0</v>
      </c>
    </row>
    <row r="370" spans="1:18" x14ac:dyDescent="0.25">
      <c r="A370" s="2" t="s">
        <v>578</v>
      </c>
      <c r="B370" s="2" t="s">
        <v>1118</v>
      </c>
      <c r="C370" s="2" t="s">
        <v>1119</v>
      </c>
      <c r="D370" s="2" t="s">
        <v>1120</v>
      </c>
      <c r="E370" s="3">
        <v>45684</v>
      </c>
      <c r="F370" s="3">
        <v>46049</v>
      </c>
      <c r="G370" s="4">
        <v>0</v>
      </c>
      <c r="H370" s="10">
        <v>0.11749999999999999</v>
      </c>
      <c r="I370" s="10">
        <v>0.11650000000000001</v>
      </c>
      <c r="J370" s="5">
        <v>262500</v>
      </c>
      <c r="K370" s="5">
        <v>257902</v>
      </c>
      <c r="L370" s="5">
        <v>4598</v>
      </c>
      <c r="M370" s="4">
        <v>0.98</v>
      </c>
      <c r="N370" s="2">
        <v>8</v>
      </c>
      <c r="O370" s="5">
        <v>0</v>
      </c>
      <c r="P370" s="5">
        <v>2525</v>
      </c>
      <c r="Q370" s="3">
        <v>46023</v>
      </c>
      <c r="R370" s="6">
        <f t="shared" si="16"/>
        <v>0</v>
      </c>
    </row>
    <row r="371" spans="1:18" x14ac:dyDescent="0.25">
      <c r="A371" s="2" t="s">
        <v>578</v>
      </c>
      <c r="B371" s="2" t="s">
        <v>1121</v>
      </c>
      <c r="C371" s="2" t="s">
        <v>1122</v>
      </c>
      <c r="D371" s="2" t="s">
        <v>1123</v>
      </c>
      <c r="E371" s="3">
        <v>45686</v>
      </c>
      <c r="F371" s="3">
        <v>46154</v>
      </c>
      <c r="G371" s="4">
        <v>0</v>
      </c>
      <c r="H371" s="10">
        <v>0.1075</v>
      </c>
      <c r="I371" s="10">
        <v>0.1062</v>
      </c>
      <c r="J371" s="5">
        <v>152300</v>
      </c>
      <c r="K371" s="5">
        <v>152300</v>
      </c>
      <c r="L371" s="5">
        <v>0</v>
      </c>
      <c r="M371" s="4">
        <v>1</v>
      </c>
      <c r="N371" s="2">
        <v>3</v>
      </c>
      <c r="O371" s="5">
        <v>0</v>
      </c>
      <c r="P371" s="5">
        <v>1364</v>
      </c>
      <c r="Q371" s="3">
        <v>46023</v>
      </c>
      <c r="R371" s="6">
        <f t="shared" si="16"/>
        <v>0</v>
      </c>
    </row>
    <row r="372" spans="1:18" x14ac:dyDescent="0.25">
      <c r="A372" s="2" t="s">
        <v>578</v>
      </c>
      <c r="B372" s="2" t="s">
        <v>1124</v>
      </c>
      <c r="C372" s="2" t="s">
        <v>1125</v>
      </c>
      <c r="D372" s="2" t="s">
        <v>1126</v>
      </c>
      <c r="E372" s="3">
        <v>45686</v>
      </c>
      <c r="F372" s="3">
        <v>46051</v>
      </c>
      <c r="G372" s="4">
        <v>0</v>
      </c>
      <c r="H372" s="10">
        <v>0.11</v>
      </c>
      <c r="I372" s="10">
        <v>0.1071</v>
      </c>
      <c r="J372" s="5">
        <v>433250</v>
      </c>
      <c r="K372" s="5">
        <v>353700</v>
      </c>
      <c r="L372" s="5">
        <v>79550</v>
      </c>
      <c r="M372" s="4">
        <v>0.82</v>
      </c>
      <c r="N372" s="2">
        <v>1</v>
      </c>
      <c r="O372" s="5">
        <v>0</v>
      </c>
      <c r="P372" s="5">
        <v>3242</v>
      </c>
      <c r="Q372" s="3">
        <v>46023</v>
      </c>
      <c r="R372" s="6">
        <f t="shared" si="16"/>
        <v>0</v>
      </c>
    </row>
    <row r="373" spans="1:18" x14ac:dyDescent="0.25">
      <c r="A373" s="2" t="s">
        <v>578</v>
      </c>
      <c r="B373" s="2" t="s">
        <v>1127</v>
      </c>
      <c r="C373" s="2" t="s">
        <v>1128</v>
      </c>
      <c r="D373" s="2" t="s">
        <v>1129</v>
      </c>
      <c r="E373" s="3">
        <v>45687</v>
      </c>
      <c r="F373" s="3">
        <v>46052</v>
      </c>
      <c r="G373" s="4">
        <v>0</v>
      </c>
      <c r="H373" s="10">
        <v>0.1099</v>
      </c>
      <c r="I373" s="10">
        <v>0.1071</v>
      </c>
      <c r="J373" s="5">
        <v>896000</v>
      </c>
      <c r="K373" s="5">
        <v>858274</v>
      </c>
      <c r="L373" s="5">
        <v>37726</v>
      </c>
      <c r="M373" s="4">
        <v>0.96</v>
      </c>
      <c r="N373" s="2">
        <v>2</v>
      </c>
      <c r="O373" s="5">
        <v>0</v>
      </c>
      <c r="P373" s="5">
        <v>7860</v>
      </c>
      <c r="Q373" s="3">
        <v>46023</v>
      </c>
      <c r="R373" s="6">
        <f t="shared" si="16"/>
        <v>0</v>
      </c>
    </row>
    <row r="374" spans="1:18" x14ac:dyDescent="0.25">
      <c r="A374" s="2" t="s">
        <v>578</v>
      </c>
      <c r="B374" s="2" t="s">
        <v>1130</v>
      </c>
      <c r="C374" s="2" t="s">
        <v>1131</v>
      </c>
      <c r="D374" s="2" t="s">
        <v>1132</v>
      </c>
      <c r="E374" s="3">
        <v>45687</v>
      </c>
      <c r="F374" s="3">
        <v>46052</v>
      </c>
      <c r="G374" s="4">
        <v>0</v>
      </c>
      <c r="H374" s="10">
        <v>0.11</v>
      </c>
      <c r="I374" s="10">
        <v>0.1071</v>
      </c>
      <c r="J374" s="5">
        <v>441000</v>
      </c>
      <c r="K374" s="5">
        <v>338750</v>
      </c>
      <c r="L374" s="5">
        <v>102250</v>
      </c>
      <c r="M374" s="4">
        <v>0.77</v>
      </c>
      <c r="N374" s="2">
        <v>3</v>
      </c>
      <c r="O374" s="5">
        <v>0</v>
      </c>
      <c r="P374" s="5">
        <v>3105</v>
      </c>
      <c r="Q374" s="3">
        <v>46023</v>
      </c>
      <c r="R374" s="6">
        <f t="shared" si="16"/>
        <v>0</v>
      </c>
    </row>
    <row r="375" spans="1:18" x14ac:dyDescent="0.25">
      <c r="A375" s="2" t="s">
        <v>578</v>
      </c>
      <c r="B375" s="2" t="s">
        <v>1133</v>
      </c>
      <c r="C375" s="2" t="s">
        <v>1134</v>
      </c>
      <c r="D375" s="2" t="s">
        <v>1135</v>
      </c>
      <c r="E375" s="3">
        <v>45688</v>
      </c>
      <c r="F375" s="3">
        <v>46326</v>
      </c>
      <c r="G375" s="4">
        <v>0</v>
      </c>
      <c r="H375" s="10">
        <v>0.1075</v>
      </c>
      <c r="I375" s="10">
        <v>0.1062</v>
      </c>
      <c r="J375" s="5">
        <v>294950</v>
      </c>
      <c r="K375" s="5">
        <v>294950</v>
      </c>
      <c r="L375" s="5">
        <v>0</v>
      </c>
      <c r="M375" s="4">
        <v>1</v>
      </c>
      <c r="N375" s="2">
        <v>1</v>
      </c>
      <c r="O375" s="5">
        <v>0</v>
      </c>
      <c r="P375" s="5">
        <v>2642</v>
      </c>
      <c r="Q375" s="3">
        <v>46023</v>
      </c>
      <c r="R375" s="6">
        <f t="shared" si="16"/>
        <v>0</v>
      </c>
    </row>
    <row r="376" spans="1:18" x14ac:dyDescent="0.25">
      <c r="A376" s="2" t="s">
        <v>578</v>
      </c>
      <c r="B376" s="2" t="s">
        <v>1136</v>
      </c>
      <c r="C376" s="2" t="s">
        <v>1137</v>
      </c>
      <c r="D376" s="2" t="s">
        <v>1138</v>
      </c>
      <c r="E376" s="3">
        <v>45688</v>
      </c>
      <c r="F376" s="3">
        <v>46053</v>
      </c>
      <c r="G376" s="4">
        <v>0</v>
      </c>
      <c r="H376" s="10">
        <v>0.11</v>
      </c>
      <c r="I376" s="10">
        <v>0.1071</v>
      </c>
      <c r="J376" s="5">
        <v>437500</v>
      </c>
      <c r="K376" s="5">
        <v>433550</v>
      </c>
      <c r="L376" s="5">
        <v>3950</v>
      </c>
      <c r="M376" s="4">
        <v>0.99</v>
      </c>
      <c r="N376" s="2">
        <v>3</v>
      </c>
      <c r="O376" s="5">
        <v>0</v>
      </c>
      <c r="P376" s="5">
        <v>3974</v>
      </c>
      <c r="Q376" s="3">
        <v>46023</v>
      </c>
      <c r="R376" s="6">
        <f t="shared" si="16"/>
        <v>0</v>
      </c>
    </row>
    <row r="377" spans="1:18" x14ac:dyDescent="0.25">
      <c r="A377" s="2" t="s">
        <v>578</v>
      </c>
      <c r="B377" s="2" t="s">
        <v>1139</v>
      </c>
      <c r="C377" s="2" t="s">
        <v>1140</v>
      </c>
      <c r="D377" s="2" t="s">
        <v>1141</v>
      </c>
      <c r="E377" s="3">
        <v>45693</v>
      </c>
      <c r="F377" s="3">
        <v>46058</v>
      </c>
      <c r="G377" s="4">
        <v>0</v>
      </c>
      <c r="H377" s="10">
        <v>0.1075</v>
      </c>
      <c r="I377" s="10">
        <v>0.1062</v>
      </c>
      <c r="J377" s="5">
        <v>399000</v>
      </c>
      <c r="K377" s="5">
        <v>399000</v>
      </c>
      <c r="L377" s="5">
        <v>0</v>
      </c>
      <c r="M377" s="4">
        <v>1</v>
      </c>
      <c r="N377" s="2">
        <v>1</v>
      </c>
      <c r="O377" s="5">
        <v>0</v>
      </c>
      <c r="P377" s="5">
        <v>3574</v>
      </c>
      <c r="Q377" s="3">
        <v>46023</v>
      </c>
      <c r="R377" s="6">
        <f t="shared" si="16"/>
        <v>0</v>
      </c>
    </row>
    <row r="378" spans="1:18" x14ac:dyDescent="0.25">
      <c r="A378" s="2" t="s">
        <v>578</v>
      </c>
      <c r="B378" s="2" t="s">
        <v>1142</v>
      </c>
      <c r="C378" s="2" t="s">
        <v>1143</v>
      </c>
      <c r="D378" s="2" t="s">
        <v>1144</v>
      </c>
      <c r="E378" s="3">
        <v>45698</v>
      </c>
      <c r="F378" s="3">
        <v>46063</v>
      </c>
      <c r="G378" s="4">
        <v>0</v>
      </c>
      <c r="H378" s="10">
        <v>0.1075</v>
      </c>
      <c r="I378" s="10">
        <v>0.1062</v>
      </c>
      <c r="J378" s="5">
        <v>100000</v>
      </c>
      <c r="K378" s="5">
        <v>98750</v>
      </c>
      <c r="L378" s="5">
        <v>1250</v>
      </c>
      <c r="M378" s="4">
        <v>0.99</v>
      </c>
      <c r="N378" s="2">
        <v>3</v>
      </c>
      <c r="O378" s="5">
        <v>0</v>
      </c>
      <c r="P378" s="5">
        <v>896</v>
      </c>
      <c r="Q378" s="3">
        <v>46023</v>
      </c>
      <c r="R378" s="6">
        <f t="shared" si="16"/>
        <v>0</v>
      </c>
    </row>
    <row r="379" spans="1:18" x14ac:dyDescent="0.25">
      <c r="A379" s="2" t="s">
        <v>578</v>
      </c>
      <c r="B379" s="2" t="s">
        <v>1145</v>
      </c>
      <c r="C379" s="2" t="s">
        <v>1146</v>
      </c>
      <c r="D379" s="2" t="s">
        <v>1147</v>
      </c>
      <c r="E379" s="3">
        <v>45700</v>
      </c>
      <c r="F379" s="3">
        <v>46065</v>
      </c>
      <c r="G379" s="4">
        <v>0</v>
      </c>
      <c r="H379" s="10">
        <v>0.1075</v>
      </c>
      <c r="I379" s="10">
        <v>0.1062</v>
      </c>
      <c r="J379" s="5">
        <v>161000</v>
      </c>
      <c r="K379" s="5">
        <v>159716</v>
      </c>
      <c r="L379" s="5">
        <v>1284</v>
      </c>
      <c r="M379" s="4">
        <v>0.99</v>
      </c>
      <c r="N379" s="2">
        <v>5</v>
      </c>
      <c r="O379" s="5">
        <v>0</v>
      </c>
      <c r="P379" s="5">
        <v>1197</v>
      </c>
      <c r="Q379" s="3">
        <v>46023</v>
      </c>
      <c r="R379" s="6">
        <f t="shared" si="16"/>
        <v>0</v>
      </c>
    </row>
    <row r="380" spans="1:18" x14ac:dyDescent="0.25">
      <c r="A380" s="2" t="s">
        <v>578</v>
      </c>
      <c r="B380" s="2" t="s">
        <v>1148</v>
      </c>
      <c r="C380" s="2" t="s">
        <v>1149</v>
      </c>
      <c r="D380" s="2" t="s">
        <v>1150</v>
      </c>
      <c r="E380" s="3">
        <v>45702</v>
      </c>
      <c r="F380" s="3">
        <v>46067</v>
      </c>
      <c r="G380" s="4">
        <v>0</v>
      </c>
      <c r="H380" s="10">
        <v>0.11</v>
      </c>
      <c r="I380" s="10">
        <v>0.1071</v>
      </c>
      <c r="J380" s="5">
        <v>422850</v>
      </c>
      <c r="K380" s="5">
        <v>378330</v>
      </c>
      <c r="L380" s="5">
        <v>44520</v>
      </c>
      <c r="M380" s="4">
        <v>0.89</v>
      </c>
      <c r="N380" s="2">
        <v>3</v>
      </c>
      <c r="O380" s="5">
        <v>0</v>
      </c>
      <c r="P380" s="5">
        <v>3381</v>
      </c>
      <c r="Q380" s="3">
        <v>46023</v>
      </c>
      <c r="R380" s="6">
        <f t="shared" ref="R380:R413" si="17">G380*K380</f>
        <v>0</v>
      </c>
    </row>
    <row r="381" spans="1:18" x14ac:dyDescent="0.25">
      <c r="A381" s="2" t="s">
        <v>578</v>
      </c>
      <c r="B381" s="2" t="s">
        <v>1151</v>
      </c>
      <c r="C381" s="2" t="s">
        <v>1152</v>
      </c>
      <c r="D381" s="2" t="s">
        <v>1153</v>
      </c>
      <c r="E381" s="3">
        <v>45702</v>
      </c>
      <c r="F381" s="3">
        <v>46067</v>
      </c>
      <c r="G381" s="4">
        <v>0</v>
      </c>
      <c r="H381" s="10">
        <v>0.1075</v>
      </c>
      <c r="I381" s="10">
        <v>0.1062</v>
      </c>
      <c r="J381" s="5">
        <v>378000</v>
      </c>
      <c r="K381" s="5">
        <v>373556</v>
      </c>
      <c r="L381" s="5">
        <v>4444</v>
      </c>
      <c r="M381" s="4">
        <v>0.99</v>
      </c>
      <c r="N381" s="2">
        <v>5</v>
      </c>
      <c r="O381" s="5">
        <v>0</v>
      </c>
      <c r="P381" s="5">
        <v>3346</v>
      </c>
      <c r="Q381" s="3">
        <v>46023</v>
      </c>
      <c r="R381" s="6">
        <f t="shared" si="17"/>
        <v>0</v>
      </c>
    </row>
    <row r="382" spans="1:18" x14ac:dyDescent="0.25">
      <c r="A382" s="2" t="s">
        <v>578</v>
      </c>
      <c r="B382" s="2" t="s">
        <v>1154</v>
      </c>
      <c r="C382" s="2" t="s">
        <v>1155</v>
      </c>
      <c r="D382" s="2" t="s">
        <v>1156</v>
      </c>
      <c r="E382" s="3">
        <v>45707</v>
      </c>
      <c r="F382" s="3">
        <v>46072</v>
      </c>
      <c r="G382" s="4">
        <v>0</v>
      </c>
      <c r="H382" s="10">
        <v>0.105</v>
      </c>
      <c r="I382" s="10">
        <v>0.104</v>
      </c>
      <c r="J382" s="5">
        <v>157500</v>
      </c>
      <c r="K382" s="5">
        <v>157500</v>
      </c>
      <c r="L382" s="5">
        <v>0</v>
      </c>
      <c r="M382" s="4">
        <v>1</v>
      </c>
      <c r="N382" s="2">
        <v>1</v>
      </c>
      <c r="O382" s="5">
        <v>0</v>
      </c>
      <c r="P382" s="5">
        <v>1378</v>
      </c>
      <c r="Q382" s="3">
        <v>46023</v>
      </c>
      <c r="R382" s="6">
        <f t="shared" si="17"/>
        <v>0</v>
      </c>
    </row>
    <row r="383" spans="1:18" x14ac:dyDescent="0.25">
      <c r="A383" s="2" t="s">
        <v>578</v>
      </c>
      <c r="B383" s="2" t="s">
        <v>1157</v>
      </c>
      <c r="C383" s="2" t="s">
        <v>1158</v>
      </c>
      <c r="D383" s="2" t="s">
        <v>1159</v>
      </c>
      <c r="E383" s="3">
        <v>45707</v>
      </c>
      <c r="F383" s="3">
        <v>46072</v>
      </c>
      <c r="G383" s="4">
        <v>0</v>
      </c>
      <c r="H383" s="10">
        <v>0.105</v>
      </c>
      <c r="I383" s="10">
        <v>0.104</v>
      </c>
      <c r="J383" s="5">
        <v>393100</v>
      </c>
      <c r="K383" s="5">
        <v>393100</v>
      </c>
      <c r="L383" s="5">
        <v>0</v>
      </c>
      <c r="M383" s="4">
        <v>1</v>
      </c>
      <c r="N383" s="2">
        <v>5</v>
      </c>
      <c r="O383" s="5">
        <v>3440</v>
      </c>
      <c r="P383" s="5">
        <v>3440</v>
      </c>
      <c r="Q383" s="3">
        <v>45992</v>
      </c>
      <c r="R383" s="6">
        <f t="shared" si="17"/>
        <v>0</v>
      </c>
    </row>
    <row r="384" spans="1:18" x14ac:dyDescent="0.25">
      <c r="A384" s="2" t="s">
        <v>578</v>
      </c>
      <c r="B384" s="2" t="s">
        <v>1160</v>
      </c>
      <c r="C384" s="2" t="s">
        <v>1161</v>
      </c>
      <c r="D384" s="2" t="s">
        <v>1162</v>
      </c>
      <c r="E384" s="3">
        <v>45708</v>
      </c>
      <c r="F384" s="3">
        <v>46073</v>
      </c>
      <c r="G384" s="4">
        <v>0</v>
      </c>
      <c r="H384" s="10">
        <v>0.11</v>
      </c>
      <c r="I384" s="10">
        <v>0.1071</v>
      </c>
      <c r="J384" s="5">
        <v>435150</v>
      </c>
      <c r="K384" s="5">
        <v>408000</v>
      </c>
      <c r="L384" s="5">
        <v>27150</v>
      </c>
      <c r="M384" s="4">
        <v>0.94</v>
      </c>
      <c r="N384" s="2">
        <v>1</v>
      </c>
      <c r="O384" s="5">
        <v>0</v>
      </c>
      <c r="P384" s="5">
        <v>3740</v>
      </c>
      <c r="Q384" s="3">
        <v>46023</v>
      </c>
      <c r="R384" s="6">
        <f t="shared" si="17"/>
        <v>0</v>
      </c>
    </row>
    <row r="385" spans="1:18" x14ac:dyDescent="0.25">
      <c r="A385" s="2" t="s">
        <v>578</v>
      </c>
      <c r="B385" s="2" t="s">
        <v>1163</v>
      </c>
      <c r="C385" s="2" t="s">
        <v>1164</v>
      </c>
      <c r="D385" s="2" t="s">
        <v>1165</v>
      </c>
      <c r="E385" s="3">
        <v>45709</v>
      </c>
      <c r="F385" s="3">
        <v>46074</v>
      </c>
      <c r="G385" s="4">
        <v>0</v>
      </c>
      <c r="H385" s="10">
        <v>0.115</v>
      </c>
      <c r="I385" s="10">
        <v>0.114</v>
      </c>
      <c r="J385" s="5">
        <v>283250</v>
      </c>
      <c r="K385" s="5">
        <v>283250</v>
      </c>
      <c r="L385" s="5">
        <v>0</v>
      </c>
      <c r="M385" s="4">
        <v>1</v>
      </c>
      <c r="N385" s="2">
        <v>9</v>
      </c>
      <c r="O385" s="5">
        <v>0</v>
      </c>
      <c r="P385" s="5">
        <v>2714</v>
      </c>
      <c r="Q385" s="3">
        <v>46023</v>
      </c>
      <c r="R385" s="6">
        <f t="shared" si="17"/>
        <v>0</v>
      </c>
    </row>
    <row r="386" spans="1:18" x14ac:dyDescent="0.25">
      <c r="A386" s="2" t="s">
        <v>578</v>
      </c>
      <c r="B386" s="2" t="s">
        <v>1166</v>
      </c>
      <c r="C386" s="2" t="s">
        <v>1167</v>
      </c>
      <c r="D386" s="2" t="s">
        <v>1168</v>
      </c>
      <c r="E386" s="3">
        <v>45709</v>
      </c>
      <c r="F386" s="3">
        <v>46295</v>
      </c>
      <c r="G386" s="4">
        <v>0</v>
      </c>
      <c r="H386" s="10">
        <v>0.11</v>
      </c>
      <c r="I386" s="10">
        <v>0.1071</v>
      </c>
      <c r="J386" s="5">
        <v>92332</v>
      </c>
      <c r="K386" s="5">
        <v>44890</v>
      </c>
      <c r="L386" s="5">
        <v>47442</v>
      </c>
      <c r="M386" s="4">
        <v>0.49</v>
      </c>
      <c r="N386" s="2">
        <v>3</v>
      </c>
      <c r="O386" s="5">
        <v>0</v>
      </c>
      <c r="P386" s="5">
        <v>411</v>
      </c>
      <c r="Q386" s="3">
        <v>46023</v>
      </c>
      <c r="R386" s="6">
        <f t="shared" si="17"/>
        <v>0</v>
      </c>
    </row>
    <row r="387" spans="1:18" x14ac:dyDescent="0.25">
      <c r="A387" s="2" t="s">
        <v>578</v>
      </c>
      <c r="B387" s="2" t="s">
        <v>1169</v>
      </c>
      <c r="C387" s="2" t="s">
        <v>1170</v>
      </c>
      <c r="D387" s="2" t="s">
        <v>1171</v>
      </c>
      <c r="E387" s="3">
        <v>45712</v>
      </c>
      <c r="F387" s="3">
        <v>46077</v>
      </c>
      <c r="G387" s="4">
        <v>0</v>
      </c>
      <c r="H387" s="10">
        <v>0.11749999999999999</v>
      </c>
      <c r="I387" s="10">
        <v>0.11650000000000001</v>
      </c>
      <c r="J387" s="5">
        <v>262500</v>
      </c>
      <c r="K387" s="5">
        <v>256731</v>
      </c>
      <c r="L387" s="5">
        <v>5769</v>
      </c>
      <c r="M387" s="4">
        <v>0.98</v>
      </c>
      <c r="N387" s="2">
        <v>9</v>
      </c>
      <c r="O387" s="5">
        <v>0</v>
      </c>
      <c r="P387" s="5">
        <v>2514</v>
      </c>
      <c r="Q387" s="3">
        <v>46023</v>
      </c>
      <c r="R387" s="6">
        <f t="shared" si="17"/>
        <v>0</v>
      </c>
    </row>
    <row r="388" spans="1:18" x14ac:dyDescent="0.25">
      <c r="A388" s="2" t="s">
        <v>578</v>
      </c>
      <c r="B388" s="2" t="s">
        <v>1172</v>
      </c>
      <c r="C388" s="2" t="s">
        <v>1173</v>
      </c>
      <c r="D388" s="2" t="s">
        <v>1174</v>
      </c>
      <c r="E388" s="3">
        <v>45716</v>
      </c>
      <c r="F388" s="3">
        <v>46386</v>
      </c>
      <c r="G388" s="4">
        <v>0</v>
      </c>
      <c r="H388" s="10">
        <v>0.1075</v>
      </c>
      <c r="I388" s="10">
        <v>0.1062</v>
      </c>
      <c r="J388" s="5">
        <v>291000</v>
      </c>
      <c r="K388" s="5">
        <v>291000</v>
      </c>
      <c r="L388" s="5">
        <v>0</v>
      </c>
      <c r="M388" s="4">
        <v>1</v>
      </c>
      <c r="N388" s="2">
        <v>1</v>
      </c>
      <c r="O388" s="5">
        <v>0</v>
      </c>
      <c r="P388" s="5">
        <v>2607</v>
      </c>
      <c r="Q388" s="3">
        <v>46023</v>
      </c>
      <c r="R388" s="6">
        <f t="shared" si="17"/>
        <v>0</v>
      </c>
    </row>
    <row r="389" spans="1:18" x14ac:dyDescent="0.25">
      <c r="A389" s="2" t="s">
        <v>578</v>
      </c>
      <c r="B389" s="2" t="s">
        <v>1175</v>
      </c>
      <c r="C389" s="2" t="s">
        <v>1176</v>
      </c>
      <c r="D389" s="2" t="s">
        <v>1177</v>
      </c>
      <c r="E389" s="3">
        <v>45716</v>
      </c>
      <c r="F389" s="3">
        <v>46081</v>
      </c>
      <c r="G389" s="4">
        <v>0</v>
      </c>
      <c r="H389" s="10">
        <v>0.11</v>
      </c>
      <c r="I389" s="10">
        <v>0.1071</v>
      </c>
      <c r="J389" s="5">
        <v>342386</v>
      </c>
      <c r="K389" s="5">
        <v>285600</v>
      </c>
      <c r="L389" s="5">
        <v>56786</v>
      </c>
      <c r="M389" s="4">
        <v>0.83</v>
      </c>
      <c r="N389" s="2">
        <v>1</v>
      </c>
      <c r="O389" s="5">
        <v>0</v>
      </c>
      <c r="P389" s="5">
        <v>2618</v>
      </c>
      <c r="Q389" s="3">
        <v>46023</v>
      </c>
      <c r="R389" s="6">
        <f t="shared" si="17"/>
        <v>0</v>
      </c>
    </row>
    <row r="390" spans="1:18" x14ac:dyDescent="0.25">
      <c r="A390" s="2" t="s">
        <v>578</v>
      </c>
      <c r="B390" s="2" t="s">
        <v>1178</v>
      </c>
      <c r="C390" s="2" t="s">
        <v>1179</v>
      </c>
      <c r="D390" s="2" t="s">
        <v>1180</v>
      </c>
      <c r="E390" s="3">
        <v>45716</v>
      </c>
      <c r="F390" s="3">
        <v>46081</v>
      </c>
      <c r="G390" s="4">
        <v>0</v>
      </c>
      <c r="H390" s="10">
        <v>0.1075</v>
      </c>
      <c r="I390" s="10">
        <v>0.1062</v>
      </c>
      <c r="J390" s="5">
        <v>280000</v>
      </c>
      <c r="K390" s="5">
        <v>3237</v>
      </c>
      <c r="L390" s="5">
        <v>276763</v>
      </c>
      <c r="M390" s="4">
        <v>0.01</v>
      </c>
      <c r="N390" s="2">
        <v>5</v>
      </c>
      <c r="O390" s="5">
        <v>84</v>
      </c>
      <c r="P390" s="5">
        <v>349</v>
      </c>
      <c r="Q390" s="3">
        <v>45901</v>
      </c>
      <c r="R390" s="6">
        <f t="shared" si="17"/>
        <v>0</v>
      </c>
    </row>
    <row r="391" spans="1:18" x14ac:dyDescent="0.25">
      <c r="A391" s="2" t="s">
        <v>578</v>
      </c>
      <c r="B391" s="2" t="s">
        <v>1181</v>
      </c>
      <c r="C391" s="2" t="s">
        <v>1182</v>
      </c>
      <c r="D391" s="2" t="s">
        <v>1183</v>
      </c>
      <c r="E391" s="3">
        <v>45719</v>
      </c>
      <c r="F391" s="3">
        <v>46268</v>
      </c>
      <c r="G391" s="4">
        <v>0</v>
      </c>
      <c r="H391" s="10">
        <v>0.11</v>
      </c>
      <c r="I391" s="10">
        <v>0.1071</v>
      </c>
      <c r="J391" s="5">
        <v>253446</v>
      </c>
      <c r="K391" s="5">
        <v>120596</v>
      </c>
      <c r="L391" s="5">
        <v>132850</v>
      </c>
      <c r="M391" s="4">
        <v>0.48</v>
      </c>
      <c r="N391" s="2">
        <v>2</v>
      </c>
      <c r="O391" s="5">
        <v>1105</v>
      </c>
      <c r="P391" s="5">
        <v>1105</v>
      </c>
      <c r="Q391" s="3">
        <v>45992</v>
      </c>
      <c r="R391" s="6">
        <f t="shared" si="17"/>
        <v>0</v>
      </c>
    </row>
    <row r="392" spans="1:18" x14ac:dyDescent="0.25">
      <c r="A392" s="2" t="s">
        <v>578</v>
      </c>
      <c r="B392" s="2" t="s">
        <v>1184</v>
      </c>
      <c r="C392" s="2" t="s">
        <v>1185</v>
      </c>
      <c r="D392" s="2" t="s">
        <v>1186</v>
      </c>
      <c r="E392" s="3">
        <v>45720</v>
      </c>
      <c r="F392" s="3">
        <v>46085</v>
      </c>
      <c r="G392" s="4">
        <v>0</v>
      </c>
      <c r="H392" s="10">
        <v>0.115</v>
      </c>
      <c r="I392" s="10">
        <v>0.114</v>
      </c>
      <c r="J392" s="5">
        <v>822150</v>
      </c>
      <c r="K392" s="5">
        <v>803855</v>
      </c>
      <c r="L392" s="5">
        <v>18295</v>
      </c>
      <c r="M392" s="4">
        <v>0.98</v>
      </c>
      <c r="N392" s="2">
        <v>5</v>
      </c>
      <c r="O392" s="5">
        <v>0</v>
      </c>
      <c r="P392" s="5">
        <v>7471</v>
      </c>
      <c r="Q392" s="3">
        <v>46023</v>
      </c>
      <c r="R392" s="6">
        <f t="shared" si="17"/>
        <v>0</v>
      </c>
    </row>
    <row r="393" spans="1:18" x14ac:dyDescent="0.25">
      <c r="A393" s="2" t="s">
        <v>578</v>
      </c>
      <c r="B393" s="2" t="s">
        <v>1187</v>
      </c>
      <c r="C393" s="2" t="s">
        <v>1188</v>
      </c>
      <c r="D393" s="2" t="s">
        <v>1189</v>
      </c>
      <c r="E393" s="3">
        <v>45720</v>
      </c>
      <c r="F393" s="3">
        <v>46269</v>
      </c>
      <c r="G393" s="4">
        <v>0</v>
      </c>
      <c r="H393" s="10">
        <v>0.115</v>
      </c>
      <c r="I393" s="10">
        <v>0.114</v>
      </c>
      <c r="J393" s="5">
        <v>3600000</v>
      </c>
      <c r="K393" s="5">
        <v>1850000</v>
      </c>
      <c r="L393" s="5">
        <v>1750000</v>
      </c>
      <c r="M393" s="4">
        <v>0.51</v>
      </c>
      <c r="N393" s="2">
        <v>1</v>
      </c>
      <c r="O393" s="5">
        <v>0</v>
      </c>
      <c r="P393" s="5">
        <v>17729</v>
      </c>
      <c r="Q393" s="3">
        <v>46023</v>
      </c>
      <c r="R393" s="6">
        <f t="shared" si="17"/>
        <v>0</v>
      </c>
    </row>
    <row r="394" spans="1:18" x14ac:dyDescent="0.25">
      <c r="A394" s="2" t="s">
        <v>578</v>
      </c>
      <c r="B394" s="2" t="s">
        <v>1190</v>
      </c>
      <c r="C394" s="2" t="s">
        <v>1191</v>
      </c>
      <c r="D394" s="2" t="s">
        <v>1192</v>
      </c>
      <c r="E394" s="3">
        <v>45722</v>
      </c>
      <c r="F394" s="3">
        <v>46087</v>
      </c>
      <c r="G394" s="4">
        <v>0</v>
      </c>
      <c r="H394" s="10">
        <v>0.1075</v>
      </c>
      <c r="I394" s="10">
        <v>0.1062</v>
      </c>
      <c r="J394" s="5">
        <v>167600</v>
      </c>
      <c r="K394" s="5">
        <v>159018</v>
      </c>
      <c r="L394" s="5">
        <v>8582</v>
      </c>
      <c r="M394" s="4">
        <v>0.95</v>
      </c>
      <c r="N394" s="2">
        <v>5</v>
      </c>
      <c r="O394" s="5">
        <v>0</v>
      </c>
      <c r="P394" s="5">
        <v>1425</v>
      </c>
      <c r="Q394" s="3">
        <v>46023</v>
      </c>
      <c r="R394" s="6">
        <f t="shared" si="17"/>
        <v>0</v>
      </c>
    </row>
    <row r="395" spans="1:18" x14ac:dyDescent="0.25">
      <c r="A395" s="2" t="s">
        <v>578</v>
      </c>
      <c r="B395" s="2" t="s">
        <v>1193</v>
      </c>
      <c r="C395" s="2" t="s">
        <v>1194</v>
      </c>
      <c r="D395" s="2" t="s">
        <v>1195</v>
      </c>
      <c r="E395" s="3">
        <v>45723</v>
      </c>
      <c r="F395" s="3">
        <v>46088</v>
      </c>
      <c r="G395" s="4">
        <v>0</v>
      </c>
      <c r="H395" s="10">
        <v>0.105</v>
      </c>
      <c r="I395" s="10">
        <v>0.105</v>
      </c>
      <c r="J395" s="5">
        <v>996500</v>
      </c>
      <c r="K395" s="5">
        <v>552500</v>
      </c>
      <c r="L395" s="5">
        <v>444000</v>
      </c>
      <c r="M395" s="4">
        <v>0.55000000000000004</v>
      </c>
      <c r="N395" s="2">
        <v>1</v>
      </c>
      <c r="O395" s="5">
        <v>0</v>
      </c>
      <c r="P395" s="5">
        <v>4834</v>
      </c>
      <c r="Q395" s="3">
        <v>46023</v>
      </c>
      <c r="R395" s="6">
        <f t="shared" si="17"/>
        <v>0</v>
      </c>
    </row>
    <row r="396" spans="1:18" x14ac:dyDescent="0.25">
      <c r="A396" s="2" t="s">
        <v>578</v>
      </c>
      <c r="B396" s="2" t="s">
        <v>1196</v>
      </c>
      <c r="C396" s="2" t="s">
        <v>1197</v>
      </c>
      <c r="D396" s="2" t="s">
        <v>1198</v>
      </c>
      <c r="E396" s="3">
        <v>45726</v>
      </c>
      <c r="F396" s="3">
        <v>46091</v>
      </c>
      <c r="G396" s="4">
        <v>0</v>
      </c>
      <c r="H396" s="10">
        <v>0.1075</v>
      </c>
      <c r="I396" s="10">
        <v>0.1062</v>
      </c>
      <c r="J396" s="5">
        <v>845000</v>
      </c>
      <c r="K396" s="5">
        <v>845000</v>
      </c>
      <c r="L396" s="5">
        <v>0</v>
      </c>
      <c r="M396" s="4">
        <v>1</v>
      </c>
      <c r="N396" s="2">
        <v>5</v>
      </c>
      <c r="O396" s="5">
        <v>0</v>
      </c>
      <c r="P396" s="5">
        <v>7570</v>
      </c>
      <c r="Q396" s="3">
        <v>46023</v>
      </c>
      <c r="R396" s="6">
        <f t="shared" si="17"/>
        <v>0</v>
      </c>
    </row>
    <row r="397" spans="1:18" x14ac:dyDescent="0.25">
      <c r="A397" s="2" t="s">
        <v>578</v>
      </c>
      <c r="B397" s="2" t="s">
        <v>1199</v>
      </c>
      <c r="C397" s="2" t="s">
        <v>1200</v>
      </c>
      <c r="D397" s="2" t="s">
        <v>1201</v>
      </c>
      <c r="E397" s="3">
        <v>45728</v>
      </c>
      <c r="F397" s="3">
        <v>46093</v>
      </c>
      <c r="G397" s="4">
        <v>0</v>
      </c>
      <c r="H397" s="10">
        <v>0.1125</v>
      </c>
      <c r="I397" s="10">
        <v>0.1076</v>
      </c>
      <c r="J397" s="5">
        <v>130560</v>
      </c>
      <c r="K397" s="5">
        <v>87710</v>
      </c>
      <c r="L397" s="5">
        <v>42850</v>
      </c>
      <c r="M397" s="4">
        <v>0.67</v>
      </c>
      <c r="N397" s="2">
        <v>5</v>
      </c>
      <c r="O397" s="5">
        <v>822</v>
      </c>
      <c r="P397" s="5">
        <v>822</v>
      </c>
      <c r="Q397" s="3">
        <v>45992</v>
      </c>
      <c r="R397" s="6">
        <f t="shared" si="17"/>
        <v>0</v>
      </c>
    </row>
    <row r="398" spans="1:18" x14ac:dyDescent="0.25">
      <c r="A398" s="2" t="s">
        <v>578</v>
      </c>
      <c r="B398" s="2" t="s">
        <v>1202</v>
      </c>
      <c r="C398" s="2" t="s">
        <v>1203</v>
      </c>
      <c r="D398" s="2" t="s">
        <v>1204</v>
      </c>
      <c r="E398" s="3">
        <v>45729</v>
      </c>
      <c r="F398" s="3">
        <v>46278</v>
      </c>
      <c r="G398" s="4">
        <v>0</v>
      </c>
      <c r="H398" s="10">
        <v>0.115</v>
      </c>
      <c r="I398" s="10">
        <v>0.114</v>
      </c>
      <c r="J398" s="5">
        <v>449410</v>
      </c>
      <c r="K398" s="5">
        <v>117410</v>
      </c>
      <c r="L398" s="5">
        <v>332000</v>
      </c>
      <c r="M398" s="4">
        <v>0.26</v>
      </c>
      <c r="N398" s="2">
        <v>1</v>
      </c>
      <c r="O398" s="5">
        <v>0</v>
      </c>
      <c r="P398" s="5">
        <v>1125</v>
      </c>
      <c r="Q398" s="3">
        <v>46023</v>
      </c>
      <c r="R398" s="6">
        <f t="shared" si="17"/>
        <v>0</v>
      </c>
    </row>
    <row r="399" spans="1:18" x14ac:dyDescent="0.25">
      <c r="A399" s="2" t="s">
        <v>578</v>
      </c>
      <c r="B399" s="2" t="s">
        <v>1205</v>
      </c>
      <c r="C399" s="2" t="s">
        <v>1206</v>
      </c>
      <c r="D399" s="2" t="s">
        <v>1207</v>
      </c>
      <c r="E399" s="3">
        <v>45729</v>
      </c>
      <c r="F399" s="3">
        <v>46278</v>
      </c>
      <c r="G399" s="4">
        <v>0</v>
      </c>
      <c r="H399" s="10">
        <v>9.9900000000000003E-2</v>
      </c>
      <c r="I399" s="10">
        <v>9.9900000000000003E-2</v>
      </c>
      <c r="J399" s="5">
        <v>441000</v>
      </c>
      <c r="K399" s="5">
        <v>441000</v>
      </c>
      <c r="L399" s="5">
        <v>0</v>
      </c>
      <c r="M399" s="4">
        <v>1</v>
      </c>
      <c r="N399" s="2">
        <v>1</v>
      </c>
      <c r="O399" s="5">
        <v>0</v>
      </c>
      <c r="P399" s="5">
        <v>3671</v>
      </c>
      <c r="Q399" s="3">
        <v>46023</v>
      </c>
      <c r="R399" s="6">
        <f t="shared" si="17"/>
        <v>0</v>
      </c>
    </row>
    <row r="400" spans="1:18" x14ac:dyDescent="0.25">
      <c r="A400" s="2" t="s">
        <v>578</v>
      </c>
      <c r="B400" s="2" t="s">
        <v>1208</v>
      </c>
      <c r="C400" s="2" t="s">
        <v>1209</v>
      </c>
      <c r="D400" s="2" t="s">
        <v>1210</v>
      </c>
      <c r="E400" s="3">
        <v>45729</v>
      </c>
      <c r="F400" s="3">
        <v>46094</v>
      </c>
      <c r="G400" s="4">
        <v>0</v>
      </c>
      <c r="H400" s="10">
        <v>0.11</v>
      </c>
      <c r="I400" s="10">
        <v>0.1071</v>
      </c>
      <c r="J400" s="5">
        <v>237425</v>
      </c>
      <c r="K400" s="5">
        <v>237425</v>
      </c>
      <c r="L400" s="5">
        <v>0</v>
      </c>
      <c r="M400" s="4">
        <v>1</v>
      </c>
      <c r="N400" s="2">
        <v>7</v>
      </c>
      <c r="O400" s="5">
        <v>0</v>
      </c>
      <c r="P400" s="5">
        <v>2176</v>
      </c>
      <c r="Q400" s="3">
        <v>46023</v>
      </c>
      <c r="R400" s="6">
        <f t="shared" si="17"/>
        <v>0</v>
      </c>
    </row>
    <row r="401" spans="1:18" x14ac:dyDescent="0.25">
      <c r="A401" s="2" t="s">
        <v>578</v>
      </c>
      <c r="B401" s="2" t="s">
        <v>1211</v>
      </c>
      <c r="C401" s="2" t="s">
        <v>1212</v>
      </c>
      <c r="D401" s="2" t="s">
        <v>1213</v>
      </c>
      <c r="E401" s="3">
        <v>45730</v>
      </c>
      <c r="F401" s="3">
        <v>46095</v>
      </c>
      <c r="G401" s="4">
        <v>0</v>
      </c>
      <c r="H401" s="10">
        <v>0.1075</v>
      </c>
      <c r="I401" s="10">
        <v>0.1062</v>
      </c>
      <c r="J401" s="5">
        <v>297000</v>
      </c>
      <c r="K401" s="5">
        <v>297000</v>
      </c>
      <c r="L401" s="5">
        <v>0</v>
      </c>
      <c r="M401" s="4">
        <v>1</v>
      </c>
      <c r="N401" s="2">
        <v>1</v>
      </c>
      <c r="O401" s="5">
        <v>0</v>
      </c>
      <c r="P401" s="5">
        <v>2661</v>
      </c>
      <c r="Q401" s="3">
        <v>46023</v>
      </c>
      <c r="R401" s="6">
        <f t="shared" si="17"/>
        <v>0</v>
      </c>
    </row>
    <row r="402" spans="1:18" x14ac:dyDescent="0.25">
      <c r="A402" s="2" t="s">
        <v>578</v>
      </c>
      <c r="B402" s="2" t="s">
        <v>1214</v>
      </c>
      <c r="C402" s="2" t="s">
        <v>1215</v>
      </c>
      <c r="D402" s="2" t="s">
        <v>1216</v>
      </c>
      <c r="E402" s="3">
        <v>45730</v>
      </c>
      <c r="F402" s="3">
        <v>46095</v>
      </c>
      <c r="G402" s="4">
        <v>0</v>
      </c>
      <c r="H402" s="10">
        <v>0.105</v>
      </c>
      <c r="I402" s="10">
        <v>0.104</v>
      </c>
      <c r="J402" s="5">
        <v>974859</v>
      </c>
      <c r="K402" s="5">
        <v>530859</v>
      </c>
      <c r="L402" s="5">
        <v>444000</v>
      </c>
      <c r="M402" s="4">
        <v>0.54</v>
      </c>
      <c r="N402" s="2">
        <v>1</v>
      </c>
      <c r="O402" s="5">
        <v>0</v>
      </c>
      <c r="P402" s="5">
        <v>4645</v>
      </c>
      <c r="Q402" s="3">
        <v>46023</v>
      </c>
      <c r="R402" s="6">
        <f t="shared" si="17"/>
        <v>0</v>
      </c>
    </row>
    <row r="403" spans="1:18" x14ac:dyDescent="0.25">
      <c r="A403" s="2" t="s">
        <v>578</v>
      </c>
      <c r="B403" s="2" t="s">
        <v>1217</v>
      </c>
      <c r="C403" s="2" t="s">
        <v>1218</v>
      </c>
      <c r="D403" s="2" t="s">
        <v>1219</v>
      </c>
      <c r="E403" s="3">
        <v>45733</v>
      </c>
      <c r="F403" s="3">
        <v>46098</v>
      </c>
      <c r="G403" s="4">
        <v>0</v>
      </c>
      <c r="H403" s="10">
        <v>0.105</v>
      </c>
      <c r="I403" s="10">
        <v>0.104</v>
      </c>
      <c r="J403" s="5">
        <v>979500</v>
      </c>
      <c r="K403" s="5">
        <v>967500</v>
      </c>
      <c r="L403" s="5">
        <v>12000</v>
      </c>
      <c r="M403" s="4">
        <v>0.99</v>
      </c>
      <c r="N403" s="2">
        <v>2</v>
      </c>
      <c r="O403" s="5">
        <v>0</v>
      </c>
      <c r="P403" s="5">
        <v>4686</v>
      </c>
      <c r="Q403" s="3">
        <v>46023</v>
      </c>
      <c r="R403" s="6">
        <f t="shared" si="17"/>
        <v>0</v>
      </c>
    </row>
    <row r="404" spans="1:18" x14ac:dyDescent="0.25">
      <c r="A404" s="2" t="s">
        <v>578</v>
      </c>
      <c r="B404" s="2" t="s">
        <v>1220</v>
      </c>
      <c r="C404" s="2" t="s">
        <v>1221</v>
      </c>
      <c r="D404" s="2" t="s">
        <v>1222</v>
      </c>
      <c r="E404" s="3">
        <v>45737</v>
      </c>
      <c r="F404" s="3">
        <v>46102</v>
      </c>
      <c r="G404" s="4">
        <v>0</v>
      </c>
      <c r="H404" s="10">
        <v>0.1125</v>
      </c>
      <c r="I404" s="10">
        <v>0.1076</v>
      </c>
      <c r="J404" s="5">
        <v>170846</v>
      </c>
      <c r="K404" s="5">
        <v>164330</v>
      </c>
      <c r="L404" s="5">
        <v>6516</v>
      </c>
      <c r="M404" s="4">
        <v>0.96</v>
      </c>
      <c r="N404" s="2">
        <v>10</v>
      </c>
      <c r="O404" s="5">
        <v>0</v>
      </c>
      <c r="P404" s="5">
        <v>1541</v>
      </c>
      <c r="Q404" s="3">
        <v>46023</v>
      </c>
      <c r="R404" s="6">
        <f t="shared" si="17"/>
        <v>0</v>
      </c>
    </row>
    <row r="405" spans="1:18" x14ac:dyDescent="0.25">
      <c r="A405" s="2" t="s">
        <v>578</v>
      </c>
      <c r="B405" s="2" t="s">
        <v>1223</v>
      </c>
      <c r="C405" s="2" t="s">
        <v>1224</v>
      </c>
      <c r="D405" s="2" t="s">
        <v>1225</v>
      </c>
      <c r="E405" s="3">
        <v>45737</v>
      </c>
      <c r="F405" s="3">
        <v>46102</v>
      </c>
      <c r="G405" s="4">
        <v>0</v>
      </c>
      <c r="H405" s="10">
        <v>0.1</v>
      </c>
      <c r="I405" s="10">
        <v>9.9699999999999997E-2</v>
      </c>
      <c r="J405" s="5">
        <v>520200</v>
      </c>
      <c r="K405" s="5">
        <v>520200</v>
      </c>
      <c r="L405" s="5">
        <v>0</v>
      </c>
      <c r="M405" s="4">
        <v>1</v>
      </c>
      <c r="N405" s="2">
        <v>1</v>
      </c>
      <c r="O405" s="5">
        <v>0</v>
      </c>
      <c r="P405" s="5">
        <v>4335</v>
      </c>
      <c r="Q405" s="3">
        <v>46023</v>
      </c>
      <c r="R405" s="6">
        <f t="shared" si="17"/>
        <v>0</v>
      </c>
    </row>
    <row r="406" spans="1:18" x14ac:dyDescent="0.25">
      <c r="A406" s="2" t="s">
        <v>578</v>
      </c>
      <c r="B406" s="2" t="s">
        <v>1226</v>
      </c>
      <c r="C406" s="2" t="s">
        <v>1227</v>
      </c>
      <c r="D406" s="2" t="s">
        <v>1228</v>
      </c>
      <c r="E406" s="3">
        <v>45742</v>
      </c>
      <c r="F406" s="3">
        <v>46291</v>
      </c>
      <c r="G406" s="4">
        <v>0</v>
      </c>
      <c r="H406" s="10">
        <v>9.9900000000000003E-2</v>
      </c>
      <c r="I406" s="10">
        <v>9.9900000000000003E-2</v>
      </c>
      <c r="J406" s="5">
        <v>375300</v>
      </c>
      <c r="K406" s="5">
        <v>375300</v>
      </c>
      <c r="L406" s="5">
        <v>0</v>
      </c>
      <c r="M406" s="4">
        <v>1</v>
      </c>
      <c r="N406" s="2">
        <v>1</v>
      </c>
      <c r="O406" s="5">
        <v>0</v>
      </c>
      <c r="P406" s="5">
        <v>3124</v>
      </c>
      <c r="Q406" s="3">
        <v>46023</v>
      </c>
      <c r="R406" s="6">
        <f t="shared" si="17"/>
        <v>0</v>
      </c>
    </row>
    <row r="407" spans="1:18" x14ac:dyDescent="0.25">
      <c r="A407" s="2" t="s">
        <v>578</v>
      </c>
      <c r="B407" s="2" t="s">
        <v>1229</v>
      </c>
      <c r="C407" s="2" t="s">
        <v>1230</v>
      </c>
      <c r="D407" s="2" t="s">
        <v>1231</v>
      </c>
      <c r="E407" s="3">
        <v>45742</v>
      </c>
      <c r="F407" s="3">
        <v>46291</v>
      </c>
      <c r="G407" s="4">
        <v>0</v>
      </c>
      <c r="H407" s="10">
        <v>0.1075</v>
      </c>
      <c r="I407" s="10">
        <v>0.1062</v>
      </c>
      <c r="J407" s="5">
        <v>156800</v>
      </c>
      <c r="K407" s="5">
        <v>90900</v>
      </c>
      <c r="L407" s="5">
        <v>65900</v>
      </c>
      <c r="M407" s="4">
        <v>0.57999999999999996</v>
      </c>
      <c r="N407" s="2">
        <v>1</v>
      </c>
      <c r="O407" s="5">
        <v>0</v>
      </c>
      <c r="P407" s="5">
        <v>814</v>
      </c>
      <c r="Q407" s="3">
        <v>46023</v>
      </c>
      <c r="R407" s="6">
        <f t="shared" si="17"/>
        <v>0</v>
      </c>
    </row>
    <row r="408" spans="1:18" x14ac:dyDescent="0.25">
      <c r="A408" s="2" t="s">
        <v>578</v>
      </c>
      <c r="B408" s="2" t="s">
        <v>1232</v>
      </c>
      <c r="C408" s="2" t="s">
        <v>1233</v>
      </c>
      <c r="D408" s="2" t="s">
        <v>1234</v>
      </c>
      <c r="E408" s="3">
        <v>45742</v>
      </c>
      <c r="F408" s="3">
        <v>46107</v>
      </c>
      <c r="G408" s="4">
        <v>0</v>
      </c>
      <c r="H408" s="10">
        <v>0.1075</v>
      </c>
      <c r="I408" s="10">
        <v>0.1062</v>
      </c>
      <c r="J408" s="5">
        <v>324140</v>
      </c>
      <c r="K408" s="5">
        <v>298340</v>
      </c>
      <c r="L408" s="5">
        <v>25800</v>
      </c>
      <c r="M408" s="4">
        <v>0.92</v>
      </c>
      <c r="N408" s="2">
        <v>3</v>
      </c>
      <c r="O408" s="5">
        <v>0</v>
      </c>
      <c r="P408" s="5">
        <v>2645</v>
      </c>
      <c r="Q408" s="3">
        <v>46023</v>
      </c>
      <c r="R408" s="6">
        <f t="shared" si="17"/>
        <v>0</v>
      </c>
    </row>
    <row r="409" spans="1:18" x14ac:dyDescent="0.25">
      <c r="A409" s="2" t="s">
        <v>578</v>
      </c>
      <c r="B409" s="2" t="s">
        <v>1235</v>
      </c>
      <c r="C409" s="2" t="s">
        <v>1236</v>
      </c>
      <c r="D409" s="2" t="s">
        <v>1237</v>
      </c>
      <c r="E409" s="3">
        <v>45742</v>
      </c>
      <c r="F409" s="3">
        <v>46107</v>
      </c>
      <c r="G409" s="4">
        <v>0</v>
      </c>
      <c r="H409" s="10">
        <v>0.1075</v>
      </c>
      <c r="I409" s="10">
        <v>0.1062</v>
      </c>
      <c r="J409" s="5">
        <v>404000</v>
      </c>
      <c r="K409" s="5">
        <v>404000</v>
      </c>
      <c r="L409" s="5">
        <v>0</v>
      </c>
      <c r="M409" s="4">
        <v>1</v>
      </c>
      <c r="N409" s="2">
        <v>1</v>
      </c>
      <c r="O409" s="5">
        <v>0</v>
      </c>
      <c r="P409" s="5">
        <v>3619</v>
      </c>
      <c r="Q409" s="3">
        <v>46023</v>
      </c>
      <c r="R409" s="6">
        <f t="shared" si="17"/>
        <v>0</v>
      </c>
    </row>
    <row r="410" spans="1:18" x14ac:dyDescent="0.25">
      <c r="A410" s="2" t="s">
        <v>578</v>
      </c>
      <c r="B410" s="2" t="s">
        <v>1238</v>
      </c>
      <c r="C410" s="2" t="s">
        <v>1239</v>
      </c>
      <c r="D410" s="2" t="s">
        <v>1240</v>
      </c>
      <c r="E410" s="3">
        <v>45744</v>
      </c>
      <c r="F410" s="3">
        <v>46109</v>
      </c>
      <c r="G410" s="4">
        <v>0</v>
      </c>
      <c r="H410" s="10">
        <v>0.11</v>
      </c>
      <c r="I410" s="10">
        <v>0.1071</v>
      </c>
      <c r="J410" s="5">
        <v>132500</v>
      </c>
      <c r="K410" s="5">
        <v>120370</v>
      </c>
      <c r="L410" s="5">
        <v>12130</v>
      </c>
      <c r="M410" s="4">
        <v>0.91</v>
      </c>
      <c r="N410" s="2">
        <v>3</v>
      </c>
      <c r="O410" s="5">
        <v>0</v>
      </c>
      <c r="P410" s="5">
        <v>942</v>
      </c>
      <c r="Q410" s="3">
        <v>46023</v>
      </c>
      <c r="R410" s="6">
        <f t="shared" si="17"/>
        <v>0</v>
      </c>
    </row>
    <row r="411" spans="1:18" x14ac:dyDescent="0.25">
      <c r="A411" s="2" t="s">
        <v>578</v>
      </c>
      <c r="B411" s="2" t="s">
        <v>1241</v>
      </c>
      <c r="C411" s="2" t="s">
        <v>1242</v>
      </c>
      <c r="D411" s="2" t="s">
        <v>1243</v>
      </c>
      <c r="E411" s="3">
        <v>45744</v>
      </c>
      <c r="F411" s="3">
        <v>46293</v>
      </c>
      <c r="G411" s="4">
        <v>0</v>
      </c>
      <c r="H411" s="10">
        <v>0.11</v>
      </c>
      <c r="I411" s="10">
        <v>0.1071</v>
      </c>
      <c r="J411" s="5">
        <v>813500</v>
      </c>
      <c r="K411" s="5">
        <v>809510</v>
      </c>
      <c r="L411" s="5">
        <v>3990</v>
      </c>
      <c r="M411" s="4">
        <v>1</v>
      </c>
      <c r="N411" s="2">
        <v>4</v>
      </c>
      <c r="O411" s="5">
        <v>7421</v>
      </c>
      <c r="P411" s="5">
        <v>7421</v>
      </c>
      <c r="Q411" s="3">
        <v>45992</v>
      </c>
      <c r="R411" s="6">
        <f t="shared" si="17"/>
        <v>0</v>
      </c>
    </row>
    <row r="412" spans="1:18" x14ac:dyDescent="0.25">
      <c r="A412" s="2" t="s">
        <v>578</v>
      </c>
      <c r="B412" s="2" t="s">
        <v>1244</v>
      </c>
      <c r="C412" s="2" t="s">
        <v>1245</v>
      </c>
      <c r="D412" s="2" t="s">
        <v>1246</v>
      </c>
      <c r="E412" s="3">
        <v>45747</v>
      </c>
      <c r="F412" s="3">
        <v>46112</v>
      </c>
      <c r="G412" s="4">
        <v>0</v>
      </c>
      <c r="H412" s="10">
        <v>0.105</v>
      </c>
      <c r="I412" s="10">
        <v>0.105</v>
      </c>
      <c r="J412" s="5">
        <v>358650</v>
      </c>
      <c r="K412" s="5">
        <v>358650</v>
      </c>
      <c r="L412" s="5">
        <v>0</v>
      </c>
      <c r="M412" s="4">
        <v>1</v>
      </c>
      <c r="N412" s="2">
        <v>3</v>
      </c>
      <c r="O412" s="5">
        <v>0</v>
      </c>
      <c r="P412" s="5">
        <v>3138</v>
      </c>
      <c r="Q412" s="3">
        <v>46023</v>
      </c>
      <c r="R412" s="6">
        <f t="shared" si="17"/>
        <v>0</v>
      </c>
    </row>
    <row r="413" spans="1:18" x14ac:dyDescent="0.25">
      <c r="A413" s="2" t="s">
        <v>578</v>
      </c>
      <c r="B413" s="2" t="s">
        <v>1247</v>
      </c>
      <c r="C413" s="2" t="s">
        <v>1248</v>
      </c>
      <c r="D413" s="2" t="s">
        <v>1249</v>
      </c>
      <c r="E413" s="3">
        <v>45747</v>
      </c>
      <c r="F413" s="3">
        <v>46112</v>
      </c>
      <c r="G413" s="4">
        <v>0</v>
      </c>
      <c r="H413" s="10">
        <v>0.105</v>
      </c>
      <c r="I413" s="10">
        <v>0.105</v>
      </c>
      <c r="J413" s="5">
        <v>915726</v>
      </c>
      <c r="K413" s="5">
        <v>751776</v>
      </c>
      <c r="L413" s="5">
        <v>163950</v>
      </c>
      <c r="M413" s="4">
        <v>0.82</v>
      </c>
      <c r="N413" s="2">
        <v>4</v>
      </c>
      <c r="O413" s="5">
        <v>0</v>
      </c>
      <c r="P413" s="5">
        <v>6479</v>
      </c>
      <c r="Q413" s="3">
        <v>46023</v>
      </c>
      <c r="R413" s="6">
        <f t="shared" si="17"/>
        <v>0</v>
      </c>
    </row>
    <row r="414" spans="1:18" x14ac:dyDescent="0.25">
      <c r="A414" s="2" t="s">
        <v>578</v>
      </c>
      <c r="B414" s="2" t="s">
        <v>1250</v>
      </c>
      <c r="C414" s="2" t="s">
        <v>1251</v>
      </c>
      <c r="D414" s="2" t="s">
        <v>1252</v>
      </c>
      <c r="E414" s="3">
        <v>45754</v>
      </c>
      <c r="F414" s="3">
        <v>46119</v>
      </c>
      <c r="G414" s="4">
        <v>0</v>
      </c>
      <c r="H414" s="10">
        <v>0.105</v>
      </c>
      <c r="I414" s="10">
        <v>0.104</v>
      </c>
      <c r="J414" s="5">
        <v>97905</v>
      </c>
      <c r="K414" s="5">
        <v>94405</v>
      </c>
      <c r="L414" s="5">
        <v>3500</v>
      </c>
      <c r="M414" s="4">
        <v>0.96</v>
      </c>
      <c r="N414" s="2">
        <v>5</v>
      </c>
      <c r="O414" s="5">
        <v>0</v>
      </c>
      <c r="P414" s="5">
        <v>857</v>
      </c>
      <c r="Q414" s="3">
        <v>46023</v>
      </c>
      <c r="R414" s="6">
        <f t="shared" ref="R414:R455" si="18">G414*K414</f>
        <v>0</v>
      </c>
    </row>
    <row r="415" spans="1:18" x14ac:dyDescent="0.25">
      <c r="A415" s="2" t="s">
        <v>578</v>
      </c>
      <c r="B415" s="2" t="s">
        <v>1253</v>
      </c>
      <c r="C415" s="2" t="s">
        <v>1254</v>
      </c>
      <c r="D415" s="2" t="s">
        <v>1255</v>
      </c>
      <c r="E415" s="3">
        <v>45754</v>
      </c>
      <c r="F415" s="3">
        <v>46394</v>
      </c>
      <c r="G415" s="4">
        <v>0</v>
      </c>
      <c r="H415" s="10">
        <v>0.105</v>
      </c>
      <c r="I415" s="10">
        <v>0.104</v>
      </c>
      <c r="J415" s="5">
        <v>491700</v>
      </c>
      <c r="K415" s="5">
        <v>491700</v>
      </c>
      <c r="L415" s="5">
        <v>0</v>
      </c>
      <c r="M415" s="4">
        <v>1</v>
      </c>
      <c r="N415" s="2">
        <v>8</v>
      </c>
      <c r="O415" s="5">
        <v>0</v>
      </c>
      <c r="P415" s="5">
        <v>4302</v>
      </c>
      <c r="Q415" s="3">
        <v>46023</v>
      </c>
      <c r="R415" s="6">
        <f t="shared" si="18"/>
        <v>0</v>
      </c>
    </row>
    <row r="416" spans="1:18" x14ac:dyDescent="0.25">
      <c r="A416" s="2" t="s">
        <v>578</v>
      </c>
      <c r="B416" s="2" t="s">
        <v>1256</v>
      </c>
      <c r="C416" s="2" t="s">
        <v>1257</v>
      </c>
      <c r="D416" s="2" t="s">
        <v>1258</v>
      </c>
      <c r="E416" s="3">
        <v>45756</v>
      </c>
      <c r="F416" s="3">
        <v>46304</v>
      </c>
      <c r="G416" s="4">
        <v>0</v>
      </c>
      <c r="H416" s="10">
        <v>0.1125</v>
      </c>
      <c r="I416" s="10">
        <v>0.1076</v>
      </c>
      <c r="J416" s="5">
        <v>155550</v>
      </c>
      <c r="K416" s="5">
        <v>141050</v>
      </c>
      <c r="L416" s="5">
        <v>14500</v>
      </c>
      <c r="M416" s="4">
        <v>0.91</v>
      </c>
      <c r="N416" s="2">
        <v>9</v>
      </c>
      <c r="O416" s="5">
        <v>0</v>
      </c>
      <c r="P416" s="5">
        <v>1322</v>
      </c>
      <c r="Q416" s="3">
        <v>46023</v>
      </c>
      <c r="R416" s="6">
        <f t="shared" si="18"/>
        <v>0</v>
      </c>
    </row>
    <row r="417" spans="1:18" x14ac:dyDescent="0.25">
      <c r="A417" s="2" t="s">
        <v>578</v>
      </c>
      <c r="B417" s="2" t="s">
        <v>1259</v>
      </c>
      <c r="C417" s="2" t="s">
        <v>1260</v>
      </c>
      <c r="D417" s="2" t="s">
        <v>1261</v>
      </c>
      <c r="E417" s="3">
        <v>45756</v>
      </c>
      <c r="F417" s="3">
        <v>46212</v>
      </c>
      <c r="G417" s="4">
        <v>0</v>
      </c>
      <c r="H417" s="10">
        <v>0.105</v>
      </c>
      <c r="I417" s="10">
        <v>0.104</v>
      </c>
      <c r="J417" s="5">
        <v>1022000</v>
      </c>
      <c r="K417" s="5">
        <v>578000</v>
      </c>
      <c r="L417" s="5">
        <v>444000</v>
      </c>
      <c r="M417" s="4">
        <v>0.56999999999999995</v>
      </c>
      <c r="N417" s="2">
        <v>1</v>
      </c>
      <c r="O417" s="5">
        <v>0</v>
      </c>
      <c r="P417" s="5">
        <v>5058</v>
      </c>
      <c r="Q417" s="3">
        <v>46023</v>
      </c>
      <c r="R417" s="6">
        <f t="shared" si="18"/>
        <v>0</v>
      </c>
    </row>
    <row r="418" spans="1:18" x14ac:dyDescent="0.25">
      <c r="A418" s="2" t="s">
        <v>578</v>
      </c>
      <c r="B418" s="2" t="s">
        <v>1262</v>
      </c>
      <c r="C418" s="2" t="s">
        <v>1263</v>
      </c>
      <c r="D418" s="2" t="s">
        <v>1264</v>
      </c>
      <c r="E418" s="3">
        <v>45757</v>
      </c>
      <c r="F418" s="3">
        <v>46122</v>
      </c>
      <c r="G418" s="4">
        <v>0</v>
      </c>
      <c r="H418" s="10">
        <v>0.1075</v>
      </c>
      <c r="I418" s="10">
        <v>0.1062</v>
      </c>
      <c r="J418" s="5">
        <v>485100</v>
      </c>
      <c r="K418" s="5">
        <v>468900</v>
      </c>
      <c r="L418" s="5">
        <v>16200</v>
      </c>
      <c r="M418" s="4">
        <v>0.97</v>
      </c>
      <c r="N418" s="2">
        <v>1</v>
      </c>
      <c r="O418" s="5">
        <v>0</v>
      </c>
      <c r="P418" s="5">
        <v>4201</v>
      </c>
      <c r="Q418" s="3">
        <v>46023</v>
      </c>
      <c r="R418" s="6">
        <f t="shared" si="18"/>
        <v>0</v>
      </c>
    </row>
    <row r="419" spans="1:18" x14ac:dyDescent="0.25">
      <c r="A419" s="2" t="s">
        <v>578</v>
      </c>
      <c r="B419" s="2" t="s">
        <v>1265</v>
      </c>
      <c r="C419" s="2" t="s">
        <v>1266</v>
      </c>
      <c r="D419" s="2" t="s">
        <v>1267</v>
      </c>
      <c r="E419" s="3">
        <v>45757</v>
      </c>
      <c r="F419" s="3">
        <v>46122</v>
      </c>
      <c r="G419" s="4">
        <v>0</v>
      </c>
      <c r="H419" s="10">
        <v>0.1075</v>
      </c>
      <c r="I419" s="10">
        <v>0.1062</v>
      </c>
      <c r="J419" s="5">
        <v>123876</v>
      </c>
      <c r="K419" s="5">
        <v>87221</v>
      </c>
      <c r="L419" s="5">
        <v>36655</v>
      </c>
      <c r="M419" s="4">
        <v>0.7</v>
      </c>
      <c r="N419" s="2">
        <v>3</v>
      </c>
      <c r="O419" s="5">
        <v>0</v>
      </c>
      <c r="P419" s="5">
        <v>781</v>
      </c>
      <c r="Q419" s="3">
        <v>46023</v>
      </c>
      <c r="R419" s="6">
        <f t="shared" si="18"/>
        <v>0</v>
      </c>
    </row>
    <row r="420" spans="1:18" x14ac:dyDescent="0.25">
      <c r="A420" s="2" t="s">
        <v>578</v>
      </c>
      <c r="B420" s="2" t="s">
        <v>1268</v>
      </c>
      <c r="C420" s="2" t="s">
        <v>1269</v>
      </c>
      <c r="D420" s="2" t="s">
        <v>1270</v>
      </c>
      <c r="E420" s="3">
        <v>45757</v>
      </c>
      <c r="F420" s="3">
        <v>46122</v>
      </c>
      <c r="G420" s="4">
        <v>0</v>
      </c>
      <c r="H420" s="10">
        <v>0.115</v>
      </c>
      <c r="I420" s="10">
        <v>0.114</v>
      </c>
      <c r="J420" s="5">
        <v>578250</v>
      </c>
      <c r="K420" s="5">
        <v>462623</v>
      </c>
      <c r="L420" s="5">
        <v>115627</v>
      </c>
      <c r="M420" s="4">
        <v>0.8</v>
      </c>
      <c r="N420" s="2">
        <v>7</v>
      </c>
      <c r="O420" s="5">
        <v>0</v>
      </c>
      <c r="P420" s="5">
        <v>3842</v>
      </c>
      <c r="Q420" s="3">
        <v>46023</v>
      </c>
      <c r="R420" s="6">
        <f t="shared" si="18"/>
        <v>0</v>
      </c>
    </row>
    <row r="421" spans="1:18" x14ac:dyDescent="0.25">
      <c r="A421" s="2" t="s">
        <v>578</v>
      </c>
      <c r="B421" s="2" t="s">
        <v>1271</v>
      </c>
      <c r="C421" s="2" t="s">
        <v>1272</v>
      </c>
      <c r="D421" s="2" t="s">
        <v>1273</v>
      </c>
      <c r="E421" s="3">
        <v>45757</v>
      </c>
      <c r="F421" s="3">
        <v>46122</v>
      </c>
      <c r="G421" s="4">
        <v>0</v>
      </c>
      <c r="H421" s="10">
        <v>0.115</v>
      </c>
      <c r="I421" s="10">
        <v>0.114</v>
      </c>
      <c r="J421" s="5">
        <v>770000</v>
      </c>
      <c r="K421" s="5">
        <v>516706</v>
      </c>
      <c r="L421" s="5">
        <v>253294</v>
      </c>
      <c r="M421" s="4">
        <v>0.67</v>
      </c>
      <c r="N421" s="2">
        <v>5</v>
      </c>
      <c r="O421" s="5">
        <v>0</v>
      </c>
      <c r="P421" s="5">
        <v>3580</v>
      </c>
      <c r="Q421" s="3">
        <v>46023</v>
      </c>
      <c r="R421" s="6">
        <f t="shared" si="18"/>
        <v>0</v>
      </c>
    </row>
    <row r="422" spans="1:18" x14ac:dyDescent="0.25">
      <c r="A422" s="2" t="s">
        <v>578</v>
      </c>
      <c r="B422" s="2" t="s">
        <v>1274</v>
      </c>
      <c r="C422" s="2" t="s">
        <v>1275</v>
      </c>
      <c r="D422" s="2" t="s">
        <v>1276</v>
      </c>
      <c r="E422" s="3">
        <v>45758</v>
      </c>
      <c r="F422" s="3">
        <v>46123</v>
      </c>
      <c r="G422" s="4">
        <v>0</v>
      </c>
      <c r="H422" s="10">
        <v>0.1075</v>
      </c>
      <c r="I422" s="10">
        <v>0.1062</v>
      </c>
      <c r="J422" s="5">
        <v>427000</v>
      </c>
      <c r="K422" s="5">
        <v>427000</v>
      </c>
      <c r="L422" s="5">
        <v>0</v>
      </c>
      <c r="M422" s="4">
        <v>1</v>
      </c>
      <c r="N422" s="2">
        <v>5</v>
      </c>
      <c r="O422" s="5">
        <v>0</v>
      </c>
      <c r="P422" s="5">
        <v>3825</v>
      </c>
      <c r="Q422" s="3">
        <v>46021</v>
      </c>
      <c r="R422" s="6">
        <f t="shared" si="18"/>
        <v>0</v>
      </c>
    </row>
    <row r="423" spans="1:18" x14ac:dyDescent="0.25">
      <c r="A423" s="2" t="s">
        <v>578</v>
      </c>
      <c r="B423" s="2" t="s">
        <v>1277</v>
      </c>
      <c r="C423" s="2" t="s">
        <v>1278</v>
      </c>
      <c r="D423" s="2" t="s">
        <v>1279</v>
      </c>
      <c r="E423" s="3">
        <v>45758</v>
      </c>
      <c r="F423" s="3">
        <v>46123</v>
      </c>
      <c r="G423" s="4">
        <v>0</v>
      </c>
      <c r="H423" s="10">
        <v>0.1075</v>
      </c>
      <c r="I423" s="10">
        <v>0.1062</v>
      </c>
      <c r="J423" s="5">
        <v>674090</v>
      </c>
      <c r="K423" s="5">
        <v>674090</v>
      </c>
      <c r="L423" s="5">
        <v>0</v>
      </c>
      <c r="M423" s="4">
        <v>1</v>
      </c>
      <c r="N423" s="2">
        <v>3</v>
      </c>
      <c r="O423" s="5">
        <v>0</v>
      </c>
      <c r="P423" s="5">
        <v>5932</v>
      </c>
      <c r="Q423" s="3">
        <v>46023</v>
      </c>
      <c r="R423" s="6">
        <f t="shared" si="18"/>
        <v>0</v>
      </c>
    </row>
    <row r="424" spans="1:18" x14ac:dyDescent="0.25">
      <c r="A424" s="2" t="s">
        <v>578</v>
      </c>
      <c r="B424" s="2" t="s">
        <v>1280</v>
      </c>
      <c r="C424" s="2" t="s">
        <v>1281</v>
      </c>
      <c r="D424" s="2" t="s">
        <v>1282</v>
      </c>
      <c r="E424" s="3">
        <v>45758</v>
      </c>
      <c r="F424" s="3">
        <v>46306</v>
      </c>
      <c r="G424" s="4">
        <v>0</v>
      </c>
      <c r="H424" s="10">
        <v>0.1075</v>
      </c>
      <c r="I424" s="10">
        <v>0.1062</v>
      </c>
      <c r="J424" s="5">
        <v>937300</v>
      </c>
      <c r="K424" s="5">
        <v>833225</v>
      </c>
      <c r="L424" s="5">
        <v>104075</v>
      </c>
      <c r="M424" s="4">
        <v>0.89</v>
      </c>
      <c r="N424" s="2">
        <v>7</v>
      </c>
      <c r="O424" s="5">
        <v>0</v>
      </c>
      <c r="P424" s="5">
        <v>6923</v>
      </c>
      <c r="Q424" s="3">
        <v>46023</v>
      </c>
      <c r="R424" s="6">
        <f t="shared" si="18"/>
        <v>0</v>
      </c>
    </row>
    <row r="425" spans="1:18" x14ac:dyDescent="0.25">
      <c r="A425" s="2" t="s">
        <v>578</v>
      </c>
      <c r="B425" s="2" t="s">
        <v>1283</v>
      </c>
      <c r="C425" s="2" t="s">
        <v>1284</v>
      </c>
      <c r="D425" s="2" t="s">
        <v>1285</v>
      </c>
      <c r="E425" s="3">
        <v>45758</v>
      </c>
      <c r="F425" s="3">
        <v>46123</v>
      </c>
      <c r="G425" s="4">
        <v>0</v>
      </c>
      <c r="H425" s="10">
        <v>0.1099</v>
      </c>
      <c r="I425" s="10">
        <v>0.1071</v>
      </c>
      <c r="J425" s="5">
        <v>326400</v>
      </c>
      <c r="K425" s="5">
        <v>326400</v>
      </c>
      <c r="L425" s="5">
        <v>0</v>
      </c>
      <c r="M425" s="4">
        <v>1</v>
      </c>
      <c r="N425" s="2">
        <v>5</v>
      </c>
      <c r="O425" s="5">
        <v>0</v>
      </c>
      <c r="P425" s="5">
        <v>2856</v>
      </c>
      <c r="Q425" s="3">
        <v>46023</v>
      </c>
      <c r="R425" s="6">
        <f t="shared" si="18"/>
        <v>0</v>
      </c>
    </row>
    <row r="426" spans="1:18" x14ac:dyDescent="0.25">
      <c r="A426" s="2" t="s">
        <v>578</v>
      </c>
      <c r="B426" s="2" t="s">
        <v>1286</v>
      </c>
      <c r="C426" s="2" t="s">
        <v>1287</v>
      </c>
      <c r="D426" s="2" t="s">
        <v>1288</v>
      </c>
      <c r="E426" s="3">
        <v>45761</v>
      </c>
      <c r="F426" s="3">
        <v>46309</v>
      </c>
      <c r="G426" s="4">
        <v>0</v>
      </c>
      <c r="H426" s="10">
        <v>0.1075</v>
      </c>
      <c r="I426" s="10">
        <v>0.1062</v>
      </c>
      <c r="J426" s="5">
        <v>469000</v>
      </c>
      <c r="K426" s="5">
        <v>387000</v>
      </c>
      <c r="L426" s="5">
        <v>82000</v>
      </c>
      <c r="M426" s="4">
        <v>0.83</v>
      </c>
      <c r="N426" s="2">
        <v>1</v>
      </c>
      <c r="O426" s="5">
        <v>0</v>
      </c>
      <c r="P426" s="5">
        <v>3467</v>
      </c>
      <c r="Q426" s="3">
        <v>46023</v>
      </c>
      <c r="R426" s="6">
        <f t="shared" si="18"/>
        <v>0</v>
      </c>
    </row>
    <row r="427" spans="1:18" x14ac:dyDescent="0.25">
      <c r="A427" s="2" t="s">
        <v>578</v>
      </c>
      <c r="B427" s="2" t="s">
        <v>1289</v>
      </c>
      <c r="C427" s="2" t="s">
        <v>1290</v>
      </c>
      <c r="D427" s="2" t="s">
        <v>1291</v>
      </c>
      <c r="E427" s="3">
        <v>45762</v>
      </c>
      <c r="F427" s="3">
        <v>46127</v>
      </c>
      <c r="G427" s="4">
        <v>0</v>
      </c>
      <c r="H427" s="10">
        <v>0.1075</v>
      </c>
      <c r="I427" s="10">
        <v>0.1062</v>
      </c>
      <c r="J427" s="5">
        <v>392000</v>
      </c>
      <c r="K427" s="5">
        <v>346850</v>
      </c>
      <c r="L427" s="5">
        <v>45150</v>
      </c>
      <c r="M427" s="4">
        <v>0.88</v>
      </c>
      <c r="N427" s="2">
        <v>2</v>
      </c>
      <c r="O427" s="5">
        <v>0</v>
      </c>
      <c r="P427" s="5">
        <v>3107</v>
      </c>
      <c r="Q427" s="3">
        <v>46023</v>
      </c>
      <c r="R427" s="6">
        <f t="shared" si="18"/>
        <v>0</v>
      </c>
    </row>
    <row r="428" spans="1:18" x14ac:dyDescent="0.25">
      <c r="A428" s="2" t="s">
        <v>578</v>
      </c>
      <c r="B428" s="2" t="s">
        <v>1292</v>
      </c>
      <c r="C428" s="2" t="s">
        <v>1293</v>
      </c>
      <c r="D428" s="2" t="s">
        <v>1294</v>
      </c>
      <c r="E428" s="3">
        <v>45763</v>
      </c>
      <c r="F428" s="3">
        <v>46128</v>
      </c>
      <c r="G428" s="4">
        <v>0</v>
      </c>
      <c r="H428" s="10">
        <v>0.1075</v>
      </c>
      <c r="I428" s="10">
        <v>0.1062</v>
      </c>
      <c r="J428" s="5">
        <v>339900</v>
      </c>
      <c r="K428" s="5">
        <v>272000</v>
      </c>
      <c r="L428" s="5">
        <v>67900</v>
      </c>
      <c r="M428" s="4">
        <v>0.8</v>
      </c>
      <c r="N428" s="2">
        <v>1</v>
      </c>
      <c r="O428" s="5">
        <v>0</v>
      </c>
      <c r="P428" s="5">
        <v>2437</v>
      </c>
      <c r="Q428" s="3">
        <v>46023</v>
      </c>
      <c r="R428" s="6">
        <f t="shared" si="18"/>
        <v>0</v>
      </c>
    </row>
    <row r="429" spans="1:18" x14ac:dyDescent="0.25">
      <c r="A429" s="2" t="s">
        <v>578</v>
      </c>
      <c r="B429" s="2" t="s">
        <v>1295</v>
      </c>
      <c r="C429" s="2" t="s">
        <v>1296</v>
      </c>
      <c r="D429" s="2" t="s">
        <v>1297</v>
      </c>
      <c r="E429" s="3">
        <v>45763</v>
      </c>
      <c r="F429" s="3">
        <v>46128</v>
      </c>
      <c r="G429" s="4">
        <v>0</v>
      </c>
      <c r="H429" s="10">
        <v>0.10249999999999999</v>
      </c>
      <c r="I429" s="10">
        <v>0.10199999999999999</v>
      </c>
      <c r="J429" s="5">
        <v>153000</v>
      </c>
      <c r="K429" s="5">
        <v>153000</v>
      </c>
      <c r="L429" s="5">
        <v>0</v>
      </c>
      <c r="M429" s="4">
        <v>1</v>
      </c>
      <c r="N429" s="2">
        <v>1</v>
      </c>
      <c r="O429" s="5">
        <v>0</v>
      </c>
      <c r="P429" s="5">
        <v>1307</v>
      </c>
      <c r="Q429" s="3">
        <v>46023</v>
      </c>
      <c r="R429" s="6">
        <f t="shared" si="18"/>
        <v>0</v>
      </c>
    </row>
    <row r="430" spans="1:18" x14ac:dyDescent="0.25">
      <c r="A430" s="2" t="s">
        <v>578</v>
      </c>
      <c r="B430" s="2" t="s">
        <v>1298</v>
      </c>
      <c r="C430" s="2" t="s">
        <v>1299</v>
      </c>
      <c r="D430" s="2" t="s">
        <v>1300</v>
      </c>
      <c r="E430" s="3">
        <v>45769</v>
      </c>
      <c r="F430" s="3">
        <v>46134</v>
      </c>
      <c r="G430" s="4">
        <v>0</v>
      </c>
      <c r="H430" s="10">
        <v>0.105</v>
      </c>
      <c r="I430" s="10">
        <v>0.104</v>
      </c>
      <c r="J430" s="5">
        <v>210000</v>
      </c>
      <c r="K430" s="5">
        <v>210000</v>
      </c>
      <c r="L430" s="5">
        <v>0</v>
      </c>
      <c r="M430" s="4">
        <v>1</v>
      </c>
      <c r="N430" s="2">
        <v>3</v>
      </c>
      <c r="O430" s="5">
        <v>0</v>
      </c>
      <c r="P430" s="5">
        <v>1838</v>
      </c>
      <c r="Q430" s="3">
        <v>46023</v>
      </c>
      <c r="R430" s="6">
        <f t="shared" si="18"/>
        <v>0</v>
      </c>
    </row>
    <row r="431" spans="1:18" x14ac:dyDescent="0.25">
      <c r="A431" s="2" t="s">
        <v>578</v>
      </c>
      <c r="B431" s="2" t="s">
        <v>1301</v>
      </c>
      <c r="C431" s="2" t="s">
        <v>1302</v>
      </c>
      <c r="D431" s="2" t="s">
        <v>1303</v>
      </c>
      <c r="E431" s="3">
        <v>45769</v>
      </c>
      <c r="F431" s="3">
        <v>46134</v>
      </c>
      <c r="G431" s="4">
        <v>0</v>
      </c>
      <c r="H431" s="10">
        <v>0.11</v>
      </c>
      <c r="I431" s="10">
        <v>0.1071</v>
      </c>
      <c r="J431" s="5">
        <v>164000</v>
      </c>
      <c r="K431" s="5">
        <v>129938</v>
      </c>
      <c r="L431" s="5">
        <v>34062</v>
      </c>
      <c r="M431" s="4">
        <v>0.79</v>
      </c>
      <c r="N431" s="2">
        <v>4</v>
      </c>
      <c r="O431" s="5">
        <v>0</v>
      </c>
      <c r="P431" s="5">
        <v>998</v>
      </c>
      <c r="Q431" s="3">
        <v>46023</v>
      </c>
      <c r="R431" s="6">
        <f t="shared" si="18"/>
        <v>0</v>
      </c>
    </row>
    <row r="432" spans="1:18" x14ac:dyDescent="0.25">
      <c r="A432" s="2" t="s">
        <v>578</v>
      </c>
      <c r="B432" s="2" t="s">
        <v>1304</v>
      </c>
      <c r="C432" s="2" t="s">
        <v>1305</v>
      </c>
      <c r="D432" s="2" t="s">
        <v>1306</v>
      </c>
      <c r="E432" s="3">
        <v>45769</v>
      </c>
      <c r="F432" s="3">
        <v>46134</v>
      </c>
      <c r="G432" s="4">
        <v>0</v>
      </c>
      <c r="H432" s="10">
        <v>0.1075</v>
      </c>
      <c r="I432" s="10">
        <v>0.1062</v>
      </c>
      <c r="J432" s="5">
        <v>372000</v>
      </c>
      <c r="K432" s="5">
        <v>332000</v>
      </c>
      <c r="L432" s="5">
        <v>40000</v>
      </c>
      <c r="M432" s="4">
        <v>0.89</v>
      </c>
      <c r="N432" s="2">
        <v>1</v>
      </c>
      <c r="O432" s="5">
        <v>0</v>
      </c>
      <c r="P432" s="5">
        <v>2974</v>
      </c>
      <c r="Q432" s="3">
        <v>46023</v>
      </c>
      <c r="R432" s="6">
        <f t="shared" si="18"/>
        <v>0</v>
      </c>
    </row>
    <row r="433" spans="1:18" x14ac:dyDescent="0.25">
      <c r="A433" s="2" t="s">
        <v>578</v>
      </c>
      <c r="B433" s="2" t="s">
        <v>1307</v>
      </c>
      <c r="C433" s="2" t="s">
        <v>1308</v>
      </c>
      <c r="D433" s="2" t="s">
        <v>1309</v>
      </c>
      <c r="E433" s="3">
        <v>45769</v>
      </c>
      <c r="F433" s="3">
        <v>46134</v>
      </c>
      <c r="G433" s="4">
        <v>0</v>
      </c>
      <c r="H433" s="10">
        <v>0.105</v>
      </c>
      <c r="I433" s="10">
        <v>0.104</v>
      </c>
      <c r="J433" s="5">
        <v>433800</v>
      </c>
      <c r="K433" s="5">
        <v>397800</v>
      </c>
      <c r="L433" s="5">
        <v>36000</v>
      </c>
      <c r="M433" s="4">
        <v>0.92</v>
      </c>
      <c r="N433" s="2">
        <v>1</v>
      </c>
      <c r="O433" s="5">
        <v>0</v>
      </c>
      <c r="P433" s="5">
        <v>3481</v>
      </c>
      <c r="Q433" s="3">
        <v>46023</v>
      </c>
      <c r="R433" s="6">
        <f t="shared" si="18"/>
        <v>0</v>
      </c>
    </row>
    <row r="434" spans="1:18" x14ac:dyDescent="0.25">
      <c r="A434" s="2" t="s">
        <v>578</v>
      </c>
      <c r="B434" s="2" t="s">
        <v>1310</v>
      </c>
      <c r="C434" s="2" t="s">
        <v>1311</v>
      </c>
      <c r="D434" s="2" t="s">
        <v>1312</v>
      </c>
      <c r="E434" s="3">
        <v>45769</v>
      </c>
      <c r="F434" s="3">
        <v>46317</v>
      </c>
      <c r="G434" s="4">
        <v>0</v>
      </c>
      <c r="H434" s="10">
        <v>9.9900000000000003E-2</v>
      </c>
      <c r="I434" s="10">
        <v>9.9699999999999997E-2</v>
      </c>
      <c r="J434" s="5">
        <v>310500</v>
      </c>
      <c r="K434" s="5">
        <v>310500</v>
      </c>
      <c r="L434" s="5">
        <v>0</v>
      </c>
      <c r="M434" s="4">
        <v>1</v>
      </c>
      <c r="N434" s="2">
        <v>1</v>
      </c>
      <c r="O434" s="5">
        <v>0</v>
      </c>
      <c r="P434" s="5">
        <v>2585</v>
      </c>
      <c r="Q434" s="3">
        <v>46023</v>
      </c>
      <c r="R434" s="6">
        <f t="shared" si="18"/>
        <v>0</v>
      </c>
    </row>
    <row r="435" spans="1:18" x14ac:dyDescent="0.25">
      <c r="A435" s="2" t="s">
        <v>578</v>
      </c>
      <c r="B435" s="2" t="s">
        <v>1313</v>
      </c>
      <c r="C435" s="2" t="s">
        <v>1314</v>
      </c>
      <c r="D435" s="2" t="s">
        <v>1315</v>
      </c>
      <c r="E435" s="3">
        <v>45770</v>
      </c>
      <c r="F435" s="3">
        <v>46318</v>
      </c>
      <c r="G435" s="4">
        <v>0</v>
      </c>
      <c r="H435" s="10">
        <v>9.9900000000000003E-2</v>
      </c>
      <c r="I435" s="10">
        <v>9.9699999999999997E-2</v>
      </c>
      <c r="J435" s="5">
        <v>315000</v>
      </c>
      <c r="K435" s="5">
        <v>315000</v>
      </c>
      <c r="L435" s="5">
        <v>0</v>
      </c>
      <c r="M435" s="4">
        <v>1</v>
      </c>
      <c r="N435" s="2">
        <v>1</v>
      </c>
      <c r="O435" s="5">
        <v>0</v>
      </c>
      <c r="P435" s="5">
        <v>2622</v>
      </c>
      <c r="Q435" s="3">
        <v>46023</v>
      </c>
      <c r="R435" s="6">
        <f t="shared" si="18"/>
        <v>0</v>
      </c>
    </row>
    <row r="436" spans="1:18" x14ac:dyDescent="0.25">
      <c r="A436" s="2" t="s">
        <v>578</v>
      </c>
      <c r="B436" s="2" t="s">
        <v>1316</v>
      </c>
      <c r="C436" s="2" t="s">
        <v>1317</v>
      </c>
      <c r="D436" s="2" t="s">
        <v>1318</v>
      </c>
      <c r="E436" s="3">
        <v>45771</v>
      </c>
      <c r="F436" s="3">
        <v>46136</v>
      </c>
      <c r="G436" s="4">
        <v>0</v>
      </c>
      <c r="H436" s="10">
        <v>0.1075</v>
      </c>
      <c r="I436" s="10">
        <v>0.1062</v>
      </c>
      <c r="J436" s="5">
        <v>191690</v>
      </c>
      <c r="K436" s="5">
        <v>99128</v>
      </c>
      <c r="L436" s="5">
        <v>92562</v>
      </c>
      <c r="M436" s="4">
        <v>0.52</v>
      </c>
      <c r="N436" s="2">
        <v>7</v>
      </c>
      <c r="O436" s="5">
        <v>0</v>
      </c>
      <c r="P436" s="5">
        <v>888</v>
      </c>
      <c r="Q436" s="3">
        <v>46023</v>
      </c>
      <c r="R436" s="6">
        <f t="shared" si="18"/>
        <v>0</v>
      </c>
    </row>
    <row r="437" spans="1:18" x14ac:dyDescent="0.25">
      <c r="A437" s="2" t="s">
        <v>578</v>
      </c>
      <c r="B437" s="2" t="s">
        <v>1319</v>
      </c>
      <c r="C437" s="2" t="s">
        <v>1320</v>
      </c>
      <c r="D437" s="2" t="s">
        <v>1321</v>
      </c>
      <c r="E437" s="3">
        <v>45771</v>
      </c>
      <c r="F437" s="3">
        <v>46136</v>
      </c>
      <c r="G437" s="4">
        <v>0</v>
      </c>
      <c r="H437" s="10">
        <v>0.115</v>
      </c>
      <c r="I437" s="10">
        <v>0.114</v>
      </c>
      <c r="J437" s="5">
        <v>599200</v>
      </c>
      <c r="K437" s="5">
        <v>599200</v>
      </c>
      <c r="L437" s="5">
        <v>0</v>
      </c>
      <c r="M437" s="4">
        <v>1</v>
      </c>
      <c r="N437" s="2">
        <v>8</v>
      </c>
      <c r="O437" s="5">
        <v>5458</v>
      </c>
      <c r="P437" s="5">
        <v>5458</v>
      </c>
      <c r="Q437" s="3">
        <v>45992</v>
      </c>
      <c r="R437" s="6">
        <f t="shared" si="18"/>
        <v>0</v>
      </c>
    </row>
    <row r="438" spans="1:18" x14ac:dyDescent="0.25">
      <c r="A438" s="2" t="s">
        <v>578</v>
      </c>
      <c r="B438" s="2" t="s">
        <v>1322</v>
      </c>
      <c r="C438" s="2" t="s">
        <v>1323</v>
      </c>
      <c r="D438" s="2" t="s">
        <v>1324</v>
      </c>
      <c r="E438" s="3">
        <v>45771</v>
      </c>
      <c r="F438" s="3">
        <v>46136</v>
      </c>
      <c r="G438" s="4">
        <v>0</v>
      </c>
      <c r="H438" s="10">
        <v>0.115</v>
      </c>
      <c r="I438" s="10">
        <v>0.114</v>
      </c>
      <c r="J438" s="5">
        <v>596929</v>
      </c>
      <c r="K438" s="5">
        <v>596929</v>
      </c>
      <c r="L438" s="5">
        <v>0</v>
      </c>
      <c r="M438" s="4">
        <v>1</v>
      </c>
      <c r="N438" s="2">
        <v>8</v>
      </c>
      <c r="O438" s="5">
        <v>0</v>
      </c>
      <c r="P438" s="5">
        <v>5443</v>
      </c>
      <c r="Q438" s="3">
        <v>46023</v>
      </c>
      <c r="R438" s="6">
        <f t="shared" si="18"/>
        <v>0</v>
      </c>
    </row>
    <row r="439" spans="1:18" x14ac:dyDescent="0.25">
      <c r="A439" s="2" t="s">
        <v>578</v>
      </c>
      <c r="B439" s="2" t="s">
        <v>1325</v>
      </c>
      <c r="C439" s="2" t="s">
        <v>1326</v>
      </c>
      <c r="D439" s="2" t="s">
        <v>1327</v>
      </c>
      <c r="E439" s="3">
        <v>45772</v>
      </c>
      <c r="F439" s="3">
        <v>46137</v>
      </c>
      <c r="G439" s="4">
        <v>0</v>
      </c>
      <c r="H439" s="10">
        <v>0.1075</v>
      </c>
      <c r="I439" s="10">
        <v>0.1062</v>
      </c>
      <c r="J439" s="5">
        <v>378000</v>
      </c>
      <c r="K439" s="5">
        <v>378000</v>
      </c>
      <c r="L439" s="5">
        <v>0</v>
      </c>
      <c r="M439" s="4">
        <v>1</v>
      </c>
      <c r="N439" s="2">
        <v>1</v>
      </c>
      <c r="O439" s="5">
        <v>0</v>
      </c>
      <c r="P439" s="5">
        <v>3386</v>
      </c>
      <c r="Q439" s="3">
        <v>46023</v>
      </c>
      <c r="R439" s="6">
        <f t="shared" si="18"/>
        <v>0</v>
      </c>
    </row>
    <row r="440" spans="1:18" x14ac:dyDescent="0.25">
      <c r="A440" s="2" t="s">
        <v>578</v>
      </c>
      <c r="B440" s="2" t="s">
        <v>1328</v>
      </c>
      <c r="C440" s="2" t="s">
        <v>1329</v>
      </c>
      <c r="D440" s="2" t="s">
        <v>1330</v>
      </c>
      <c r="E440" s="3">
        <v>45772</v>
      </c>
      <c r="F440" s="3">
        <v>46228</v>
      </c>
      <c r="G440" s="4">
        <v>0</v>
      </c>
      <c r="H440" s="10">
        <v>0.115</v>
      </c>
      <c r="I440" s="10">
        <v>0.114</v>
      </c>
      <c r="J440" s="5">
        <v>233932</v>
      </c>
      <c r="K440" s="5">
        <v>85565</v>
      </c>
      <c r="L440" s="5">
        <v>148367</v>
      </c>
      <c r="M440" s="4">
        <v>0.37</v>
      </c>
      <c r="N440" s="2">
        <v>4</v>
      </c>
      <c r="O440" s="5">
        <v>0</v>
      </c>
      <c r="P440" s="5">
        <v>820</v>
      </c>
      <c r="Q440" s="3">
        <v>46023</v>
      </c>
      <c r="R440" s="6">
        <f t="shared" si="18"/>
        <v>0</v>
      </c>
    </row>
    <row r="441" spans="1:18" x14ac:dyDescent="0.25">
      <c r="A441" s="2" t="s">
        <v>578</v>
      </c>
      <c r="B441" s="2" t="s">
        <v>1331</v>
      </c>
      <c r="C441" s="2" t="s">
        <v>1332</v>
      </c>
      <c r="D441" s="2" t="s">
        <v>1333</v>
      </c>
      <c r="E441" s="3">
        <v>45772</v>
      </c>
      <c r="F441" s="3">
        <v>46137</v>
      </c>
      <c r="G441" s="4">
        <v>0</v>
      </c>
      <c r="H441" s="10">
        <v>0.1075</v>
      </c>
      <c r="I441" s="10">
        <v>0.1062</v>
      </c>
      <c r="J441" s="5">
        <v>157250</v>
      </c>
      <c r="K441" s="5">
        <v>157250</v>
      </c>
      <c r="L441" s="5">
        <v>0</v>
      </c>
      <c r="M441" s="4">
        <v>1</v>
      </c>
      <c r="N441" s="2">
        <v>3</v>
      </c>
      <c r="O441" s="5">
        <v>0</v>
      </c>
      <c r="P441" s="5">
        <v>1409</v>
      </c>
      <c r="Q441" s="3">
        <v>46023</v>
      </c>
      <c r="R441" s="6">
        <f t="shared" si="18"/>
        <v>0</v>
      </c>
    </row>
    <row r="442" spans="1:18" x14ac:dyDescent="0.25">
      <c r="A442" s="2" t="s">
        <v>578</v>
      </c>
      <c r="B442" s="2" t="s">
        <v>1334</v>
      </c>
      <c r="C442" s="2" t="s">
        <v>1335</v>
      </c>
      <c r="D442" s="2" t="s">
        <v>1336</v>
      </c>
      <c r="E442" s="3">
        <v>45775</v>
      </c>
      <c r="F442" s="3">
        <v>46140</v>
      </c>
      <c r="G442" s="4">
        <v>0</v>
      </c>
      <c r="H442" s="10">
        <v>0.11</v>
      </c>
      <c r="I442" s="10">
        <v>0.1071</v>
      </c>
      <c r="J442" s="5">
        <v>118675</v>
      </c>
      <c r="K442" s="5">
        <v>118675</v>
      </c>
      <c r="L442" s="5">
        <v>0</v>
      </c>
      <c r="M442" s="4">
        <v>1</v>
      </c>
      <c r="N442" s="2">
        <v>3</v>
      </c>
      <c r="O442" s="5">
        <v>0</v>
      </c>
      <c r="P442" s="5">
        <v>1088</v>
      </c>
      <c r="Q442" s="3">
        <v>46023</v>
      </c>
      <c r="R442" s="6">
        <f t="shared" si="18"/>
        <v>0</v>
      </c>
    </row>
    <row r="443" spans="1:18" x14ac:dyDescent="0.25">
      <c r="A443" s="2" t="s">
        <v>578</v>
      </c>
      <c r="B443" s="2" t="s">
        <v>1337</v>
      </c>
      <c r="C443" s="2" t="s">
        <v>1338</v>
      </c>
      <c r="D443" s="2" t="s">
        <v>1339</v>
      </c>
      <c r="E443" s="3">
        <v>45776</v>
      </c>
      <c r="F443" s="3">
        <v>46141</v>
      </c>
      <c r="G443" s="4">
        <v>0</v>
      </c>
      <c r="H443" s="10">
        <v>0.105</v>
      </c>
      <c r="I443" s="10">
        <v>0.104</v>
      </c>
      <c r="J443" s="5">
        <v>148000</v>
      </c>
      <c r="K443" s="5">
        <v>128000</v>
      </c>
      <c r="L443" s="5">
        <v>20000</v>
      </c>
      <c r="M443" s="4">
        <v>0.86</v>
      </c>
      <c r="N443" s="2">
        <v>1</v>
      </c>
      <c r="O443" s="5">
        <v>0</v>
      </c>
      <c r="P443" s="5">
        <v>1083</v>
      </c>
      <c r="Q443" s="3">
        <v>46020</v>
      </c>
      <c r="R443" s="6">
        <f t="shared" si="18"/>
        <v>0</v>
      </c>
    </row>
    <row r="444" spans="1:18" x14ac:dyDescent="0.25">
      <c r="A444" s="2" t="s">
        <v>578</v>
      </c>
      <c r="B444" s="2" t="s">
        <v>1340</v>
      </c>
      <c r="C444" s="2" t="s">
        <v>1341</v>
      </c>
      <c r="D444" s="2" t="s">
        <v>1342</v>
      </c>
      <c r="E444" s="3">
        <v>45776</v>
      </c>
      <c r="F444" s="3">
        <v>46141</v>
      </c>
      <c r="G444" s="4">
        <v>0</v>
      </c>
      <c r="H444" s="10">
        <v>0.1075</v>
      </c>
      <c r="I444" s="10">
        <v>0.1062</v>
      </c>
      <c r="J444" s="5">
        <v>588000</v>
      </c>
      <c r="K444" s="5">
        <v>582825</v>
      </c>
      <c r="L444" s="5">
        <v>5175</v>
      </c>
      <c r="M444" s="4">
        <v>0.99</v>
      </c>
      <c r="N444" s="2">
        <v>3</v>
      </c>
      <c r="O444" s="5">
        <v>0</v>
      </c>
      <c r="P444" s="5">
        <v>5221</v>
      </c>
      <c r="Q444" s="3">
        <v>46023</v>
      </c>
      <c r="R444" s="6">
        <f t="shared" si="18"/>
        <v>0</v>
      </c>
    </row>
    <row r="445" spans="1:18" x14ac:dyDescent="0.25">
      <c r="A445" s="2" t="s">
        <v>578</v>
      </c>
      <c r="B445" s="2" t="s">
        <v>1343</v>
      </c>
      <c r="C445" s="2" t="s">
        <v>1344</v>
      </c>
      <c r="D445" s="2" t="s">
        <v>1345</v>
      </c>
      <c r="E445" s="3">
        <v>45776</v>
      </c>
      <c r="F445" s="3">
        <v>46141</v>
      </c>
      <c r="G445" s="4">
        <v>0</v>
      </c>
      <c r="H445" s="10">
        <v>0.1075</v>
      </c>
      <c r="I445" s="10">
        <v>0.1062</v>
      </c>
      <c r="J445" s="5">
        <v>249400</v>
      </c>
      <c r="K445" s="5">
        <v>100050</v>
      </c>
      <c r="L445" s="5">
        <v>149350</v>
      </c>
      <c r="M445" s="4">
        <v>0.4</v>
      </c>
      <c r="N445" s="2">
        <v>1</v>
      </c>
      <c r="O445" s="5">
        <v>0</v>
      </c>
      <c r="P445" s="5">
        <v>896</v>
      </c>
      <c r="Q445" s="3">
        <v>46023</v>
      </c>
      <c r="R445" s="6">
        <f t="shared" si="18"/>
        <v>0</v>
      </c>
    </row>
    <row r="446" spans="1:18" x14ac:dyDescent="0.25">
      <c r="A446" s="2" t="s">
        <v>578</v>
      </c>
      <c r="B446" s="2" t="s">
        <v>1346</v>
      </c>
      <c r="C446" s="2" t="s">
        <v>1347</v>
      </c>
      <c r="D446" s="2" t="s">
        <v>1348</v>
      </c>
      <c r="E446" s="3">
        <v>45777</v>
      </c>
      <c r="F446" s="3">
        <v>46142</v>
      </c>
      <c r="G446" s="4">
        <v>0</v>
      </c>
      <c r="H446" s="10">
        <v>0.1075</v>
      </c>
      <c r="I446" s="10">
        <v>0.1062</v>
      </c>
      <c r="J446" s="5">
        <v>65350</v>
      </c>
      <c r="K446" s="5">
        <v>46625</v>
      </c>
      <c r="L446" s="5">
        <v>18725</v>
      </c>
      <c r="M446" s="4">
        <v>0.71</v>
      </c>
      <c r="N446" s="2">
        <v>3</v>
      </c>
      <c r="O446" s="5">
        <v>0</v>
      </c>
      <c r="P446" s="5">
        <v>585</v>
      </c>
      <c r="Q446" s="3">
        <v>46023</v>
      </c>
      <c r="R446" s="6">
        <f t="shared" si="18"/>
        <v>0</v>
      </c>
    </row>
    <row r="447" spans="1:18" x14ac:dyDescent="0.25">
      <c r="A447" s="2" t="s">
        <v>578</v>
      </c>
      <c r="B447" s="2" t="s">
        <v>1349</v>
      </c>
      <c r="C447" s="2" t="s">
        <v>1350</v>
      </c>
      <c r="D447" s="2" t="s">
        <v>1351</v>
      </c>
      <c r="E447" s="3">
        <v>45777</v>
      </c>
      <c r="F447" s="3">
        <v>46142</v>
      </c>
      <c r="G447" s="4">
        <v>0</v>
      </c>
      <c r="H447" s="10">
        <v>0.1075</v>
      </c>
      <c r="I447" s="10">
        <v>0.1062</v>
      </c>
      <c r="J447" s="5">
        <v>662400</v>
      </c>
      <c r="K447" s="5">
        <v>604625</v>
      </c>
      <c r="L447" s="5">
        <v>57775</v>
      </c>
      <c r="M447" s="4">
        <v>0.91</v>
      </c>
      <c r="N447" s="2">
        <v>2</v>
      </c>
      <c r="O447" s="5">
        <v>0</v>
      </c>
      <c r="P447" s="5">
        <v>5039</v>
      </c>
      <c r="Q447" s="3">
        <v>46023</v>
      </c>
      <c r="R447" s="6">
        <f t="shared" si="18"/>
        <v>0</v>
      </c>
    </row>
    <row r="448" spans="1:18" x14ac:dyDescent="0.25">
      <c r="A448" s="2" t="s">
        <v>578</v>
      </c>
      <c r="B448" s="2" t="s">
        <v>1352</v>
      </c>
      <c r="C448" s="2" t="s">
        <v>1353</v>
      </c>
      <c r="D448" s="2" t="s">
        <v>1354</v>
      </c>
      <c r="E448" s="3">
        <v>45778</v>
      </c>
      <c r="F448" s="3">
        <v>46143</v>
      </c>
      <c r="G448" s="4">
        <v>0</v>
      </c>
      <c r="H448" s="10">
        <v>0.11</v>
      </c>
      <c r="I448" s="10">
        <v>0.1071</v>
      </c>
      <c r="J448" s="5">
        <v>334000</v>
      </c>
      <c r="K448" s="5">
        <v>334000</v>
      </c>
      <c r="L448" s="5">
        <v>0</v>
      </c>
      <c r="M448" s="4">
        <v>1</v>
      </c>
      <c r="N448" s="2">
        <v>2</v>
      </c>
      <c r="O448" s="5">
        <v>0</v>
      </c>
      <c r="P448" s="5">
        <v>3062</v>
      </c>
      <c r="Q448" s="3">
        <v>46023</v>
      </c>
      <c r="R448" s="6">
        <f t="shared" si="18"/>
        <v>0</v>
      </c>
    </row>
    <row r="449" spans="1:18" x14ac:dyDescent="0.25">
      <c r="A449" s="2" t="s">
        <v>578</v>
      </c>
      <c r="B449" s="2" t="s">
        <v>1355</v>
      </c>
      <c r="C449" s="2" t="s">
        <v>1356</v>
      </c>
      <c r="D449" s="2" t="s">
        <v>1357</v>
      </c>
      <c r="E449" s="3">
        <v>45779</v>
      </c>
      <c r="F449" s="3">
        <v>46144</v>
      </c>
      <c r="G449" s="4">
        <v>0</v>
      </c>
      <c r="H449" s="10">
        <v>0.1075</v>
      </c>
      <c r="I449" s="10">
        <v>0.1062</v>
      </c>
      <c r="J449" s="5">
        <v>172208</v>
      </c>
      <c r="K449" s="5">
        <v>152092</v>
      </c>
      <c r="L449" s="5">
        <v>20116</v>
      </c>
      <c r="M449" s="4">
        <v>0.88</v>
      </c>
      <c r="N449" s="2">
        <v>2</v>
      </c>
      <c r="O449" s="5">
        <v>0</v>
      </c>
      <c r="P449" s="5">
        <v>1362</v>
      </c>
      <c r="Q449" s="3">
        <v>46023</v>
      </c>
      <c r="R449" s="6">
        <f t="shared" si="18"/>
        <v>0</v>
      </c>
    </row>
    <row r="450" spans="1:18" x14ac:dyDescent="0.25">
      <c r="A450" s="2" t="s">
        <v>578</v>
      </c>
      <c r="B450" s="2" t="s">
        <v>1358</v>
      </c>
      <c r="C450" s="2" t="s">
        <v>1359</v>
      </c>
      <c r="D450" s="2" t="s">
        <v>1360</v>
      </c>
      <c r="E450" s="3">
        <v>45779</v>
      </c>
      <c r="F450" s="3">
        <v>46144</v>
      </c>
      <c r="G450" s="4">
        <v>0</v>
      </c>
      <c r="H450" s="10">
        <v>0.11</v>
      </c>
      <c r="I450" s="10">
        <v>0.1071</v>
      </c>
      <c r="J450" s="5">
        <v>76250</v>
      </c>
      <c r="K450" s="5">
        <v>71250</v>
      </c>
      <c r="L450" s="5">
        <v>5000</v>
      </c>
      <c r="M450" s="4">
        <v>0.93</v>
      </c>
      <c r="N450" s="2">
        <v>2</v>
      </c>
      <c r="O450" s="5">
        <v>70</v>
      </c>
      <c r="P450" s="5">
        <v>699</v>
      </c>
      <c r="Q450" s="3">
        <v>46023</v>
      </c>
      <c r="R450" s="6">
        <f t="shared" si="18"/>
        <v>0</v>
      </c>
    </row>
    <row r="451" spans="1:18" x14ac:dyDescent="0.25">
      <c r="A451" s="2" t="s">
        <v>578</v>
      </c>
      <c r="B451" s="2" t="s">
        <v>1361</v>
      </c>
      <c r="C451" s="2" t="s">
        <v>1362</v>
      </c>
      <c r="D451" s="2" t="s">
        <v>1363</v>
      </c>
      <c r="E451" s="3">
        <v>45783</v>
      </c>
      <c r="F451" s="3">
        <v>46148</v>
      </c>
      <c r="G451" s="4">
        <v>0</v>
      </c>
      <c r="H451" s="10">
        <v>0.1075</v>
      </c>
      <c r="I451" s="10">
        <v>0.1062</v>
      </c>
      <c r="J451" s="5">
        <v>244000</v>
      </c>
      <c r="K451" s="5">
        <v>239323</v>
      </c>
      <c r="L451" s="5">
        <v>4677</v>
      </c>
      <c r="M451" s="4">
        <v>0.98</v>
      </c>
      <c r="N451" s="2">
        <v>2</v>
      </c>
      <c r="O451" s="5">
        <v>0</v>
      </c>
      <c r="P451" s="5">
        <v>2144</v>
      </c>
      <c r="Q451" s="3">
        <v>46023</v>
      </c>
      <c r="R451" s="6">
        <f t="shared" si="18"/>
        <v>0</v>
      </c>
    </row>
    <row r="452" spans="1:18" x14ac:dyDescent="0.25">
      <c r="A452" s="2" t="s">
        <v>578</v>
      </c>
      <c r="B452" s="2" t="s">
        <v>1364</v>
      </c>
      <c r="C452" s="2" t="s">
        <v>1365</v>
      </c>
      <c r="D452" s="2" t="s">
        <v>1366</v>
      </c>
      <c r="E452" s="3">
        <v>45784</v>
      </c>
      <c r="F452" s="3">
        <v>46149</v>
      </c>
      <c r="G452" s="4">
        <v>0</v>
      </c>
      <c r="H452" s="10">
        <v>0.11</v>
      </c>
      <c r="I452" s="10">
        <v>0.1071</v>
      </c>
      <c r="J452" s="5">
        <v>380000</v>
      </c>
      <c r="K452" s="5">
        <v>380000</v>
      </c>
      <c r="L452" s="5">
        <v>0</v>
      </c>
      <c r="M452" s="4">
        <v>1</v>
      </c>
      <c r="N452" s="2">
        <v>6</v>
      </c>
      <c r="O452" s="5">
        <v>0</v>
      </c>
      <c r="P452" s="5">
        <v>3465</v>
      </c>
      <c r="Q452" s="3">
        <v>46023</v>
      </c>
      <c r="R452" s="6">
        <f t="shared" si="18"/>
        <v>0</v>
      </c>
    </row>
    <row r="453" spans="1:18" x14ac:dyDescent="0.25">
      <c r="A453" s="2" t="s">
        <v>578</v>
      </c>
      <c r="B453" s="2" t="s">
        <v>1367</v>
      </c>
      <c r="C453" s="2" t="s">
        <v>1368</v>
      </c>
      <c r="D453" s="2" t="s">
        <v>1369</v>
      </c>
      <c r="E453" s="3">
        <v>45785</v>
      </c>
      <c r="F453" s="3">
        <v>46150</v>
      </c>
      <c r="G453" s="4">
        <v>0</v>
      </c>
      <c r="H453" s="10">
        <v>9.7500000000000003E-2</v>
      </c>
      <c r="I453" s="10">
        <v>9.7500000000000003E-2</v>
      </c>
      <c r="J453" s="5">
        <v>304000</v>
      </c>
      <c r="K453" s="5">
        <v>279000</v>
      </c>
      <c r="L453" s="5">
        <v>25000</v>
      </c>
      <c r="M453" s="4">
        <v>0.92</v>
      </c>
      <c r="N453" s="2">
        <v>1</v>
      </c>
      <c r="O453" s="5">
        <v>0</v>
      </c>
      <c r="P453" s="5">
        <v>2267</v>
      </c>
      <c r="Q453" s="3">
        <v>46023</v>
      </c>
      <c r="R453" s="6">
        <f t="shared" si="18"/>
        <v>0</v>
      </c>
    </row>
    <row r="454" spans="1:18" x14ac:dyDescent="0.25">
      <c r="A454" s="2" t="s">
        <v>578</v>
      </c>
      <c r="B454" s="2" t="s">
        <v>1370</v>
      </c>
      <c r="C454" s="2" t="s">
        <v>1371</v>
      </c>
      <c r="D454" s="2" t="s">
        <v>1372</v>
      </c>
      <c r="E454" s="3">
        <v>45785</v>
      </c>
      <c r="F454" s="3">
        <v>46150</v>
      </c>
      <c r="G454" s="4">
        <v>0</v>
      </c>
      <c r="H454" s="10">
        <v>0.115</v>
      </c>
      <c r="I454" s="10">
        <v>0.114</v>
      </c>
      <c r="J454" s="5">
        <v>212324</v>
      </c>
      <c r="K454" s="5">
        <v>150628</v>
      </c>
      <c r="L454" s="5">
        <v>61696</v>
      </c>
      <c r="M454" s="4">
        <v>0.71</v>
      </c>
      <c r="N454" s="2">
        <v>11</v>
      </c>
      <c r="O454" s="5">
        <v>0</v>
      </c>
      <c r="P454" s="5">
        <v>1035</v>
      </c>
      <c r="Q454" s="3">
        <v>46023</v>
      </c>
      <c r="R454" s="6">
        <f t="shared" si="18"/>
        <v>0</v>
      </c>
    </row>
    <row r="455" spans="1:18" x14ac:dyDescent="0.25">
      <c r="A455" s="2" t="s">
        <v>578</v>
      </c>
      <c r="B455" s="2" t="s">
        <v>1373</v>
      </c>
      <c r="C455" s="2" t="s">
        <v>1374</v>
      </c>
      <c r="D455" s="2" t="s">
        <v>1375</v>
      </c>
      <c r="E455" s="3">
        <v>45789</v>
      </c>
      <c r="F455" s="3">
        <v>46338</v>
      </c>
      <c r="G455" s="4">
        <v>0</v>
      </c>
      <c r="H455" s="10">
        <v>9.9900000000000003E-2</v>
      </c>
      <c r="I455" s="10">
        <v>9.9699999999999997E-2</v>
      </c>
      <c r="J455" s="5">
        <v>693900</v>
      </c>
      <c r="K455" s="5">
        <v>693900</v>
      </c>
      <c r="L455" s="5">
        <v>0</v>
      </c>
      <c r="M455" s="4">
        <v>1</v>
      </c>
      <c r="N455" s="2">
        <v>1</v>
      </c>
      <c r="O455" s="5">
        <v>0</v>
      </c>
      <c r="P455" s="5">
        <v>5777</v>
      </c>
      <c r="Q455" s="3">
        <v>46023</v>
      </c>
      <c r="R455" s="6">
        <f t="shared" si="18"/>
        <v>0</v>
      </c>
    </row>
    <row r="456" spans="1:18" x14ac:dyDescent="0.25">
      <c r="A456" s="2" t="s">
        <v>578</v>
      </c>
      <c r="B456" s="2" t="s">
        <v>1376</v>
      </c>
      <c r="C456" s="2" t="s">
        <v>1377</v>
      </c>
      <c r="D456" s="2" t="s">
        <v>1378</v>
      </c>
      <c r="E456" s="3">
        <v>45790</v>
      </c>
      <c r="F456" s="3">
        <v>46155</v>
      </c>
      <c r="G456" s="4">
        <v>0</v>
      </c>
      <c r="H456" s="10">
        <v>0.1125</v>
      </c>
      <c r="I456" s="10">
        <v>0.1076</v>
      </c>
      <c r="J456" s="5">
        <v>178190</v>
      </c>
      <c r="K456" s="5">
        <v>58090</v>
      </c>
      <c r="L456" s="5">
        <v>120100</v>
      </c>
      <c r="M456" s="4">
        <v>0.33</v>
      </c>
      <c r="N456" s="2">
        <v>1</v>
      </c>
      <c r="O456" s="5">
        <v>0</v>
      </c>
      <c r="P456" s="5">
        <v>545</v>
      </c>
      <c r="Q456" s="3">
        <v>46023</v>
      </c>
      <c r="R456" s="6">
        <f t="shared" ref="R456:R502" si="19">G456*K456</f>
        <v>0</v>
      </c>
    </row>
    <row r="457" spans="1:18" x14ac:dyDescent="0.25">
      <c r="A457" s="2" t="s">
        <v>578</v>
      </c>
      <c r="B457" s="2" t="s">
        <v>1379</v>
      </c>
      <c r="C457" s="2" t="s">
        <v>1380</v>
      </c>
      <c r="D457" s="2" t="s">
        <v>1381</v>
      </c>
      <c r="E457" s="3">
        <v>45791</v>
      </c>
      <c r="F457" s="3">
        <v>46156</v>
      </c>
      <c r="G457" s="4">
        <v>0</v>
      </c>
      <c r="H457" s="10">
        <v>0.1075</v>
      </c>
      <c r="I457" s="10">
        <v>0.1062</v>
      </c>
      <c r="J457" s="5">
        <v>200000</v>
      </c>
      <c r="K457" s="5">
        <v>200000</v>
      </c>
      <c r="L457" s="5">
        <v>0</v>
      </c>
      <c r="M457" s="4">
        <v>1</v>
      </c>
      <c r="N457" s="2">
        <v>1</v>
      </c>
      <c r="O457" s="5">
        <v>0</v>
      </c>
      <c r="P457" s="5">
        <v>1792</v>
      </c>
      <c r="Q457" s="3">
        <v>46023</v>
      </c>
      <c r="R457" s="6">
        <f t="shared" si="19"/>
        <v>0</v>
      </c>
    </row>
    <row r="458" spans="1:18" x14ac:dyDescent="0.25">
      <c r="A458" s="2" t="s">
        <v>578</v>
      </c>
      <c r="B458" s="2" t="s">
        <v>1382</v>
      </c>
      <c r="C458" s="2" t="s">
        <v>1383</v>
      </c>
      <c r="D458" s="2" t="s">
        <v>1384</v>
      </c>
      <c r="E458" s="3">
        <v>45791</v>
      </c>
      <c r="F458" s="3">
        <v>46156</v>
      </c>
      <c r="G458" s="4">
        <v>0</v>
      </c>
      <c r="H458" s="10">
        <v>0.1075</v>
      </c>
      <c r="I458" s="10">
        <v>0.1062</v>
      </c>
      <c r="J458" s="5">
        <v>411300</v>
      </c>
      <c r="K458" s="5">
        <v>411300</v>
      </c>
      <c r="L458" s="5">
        <v>0</v>
      </c>
      <c r="M458" s="4">
        <v>1</v>
      </c>
      <c r="N458" s="2">
        <v>1</v>
      </c>
      <c r="O458" s="5">
        <v>0</v>
      </c>
      <c r="P458" s="5">
        <v>3685</v>
      </c>
      <c r="Q458" s="3">
        <v>46023</v>
      </c>
      <c r="R458" s="6">
        <f t="shared" si="19"/>
        <v>0</v>
      </c>
    </row>
    <row r="459" spans="1:18" x14ac:dyDescent="0.25">
      <c r="A459" s="2" t="s">
        <v>578</v>
      </c>
      <c r="B459" s="2" t="s">
        <v>1385</v>
      </c>
      <c r="C459" s="2" t="s">
        <v>1386</v>
      </c>
      <c r="D459" s="2" t="s">
        <v>1387</v>
      </c>
      <c r="E459" s="3">
        <v>45791</v>
      </c>
      <c r="F459" s="3">
        <v>46156</v>
      </c>
      <c r="G459" s="4">
        <v>0</v>
      </c>
      <c r="H459" s="10">
        <v>0.105</v>
      </c>
      <c r="I459" s="10">
        <v>0.104</v>
      </c>
      <c r="J459" s="5">
        <v>919000</v>
      </c>
      <c r="K459" s="5">
        <v>780899</v>
      </c>
      <c r="L459" s="5">
        <v>138101</v>
      </c>
      <c r="M459" s="4">
        <v>0.85</v>
      </c>
      <c r="N459" s="2">
        <v>3</v>
      </c>
      <c r="O459" s="5">
        <v>0</v>
      </c>
      <c r="P459" s="5">
        <v>5966</v>
      </c>
      <c r="Q459" s="3">
        <v>46023</v>
      </c>
      <c r="R459" s="6">
        <f t="shared" si="19"/>
        <v>0</v>
      </c>
    </row>
    <row r="460" spans="1:18" x14ac:dyDescent="0.25">
      <c r="A460" s="2" t="s">
        <v>578</v>
      </c>
      <c r="B460" s="2" t="s">
        <v>1388</v>
      </c>
      <c r="C460" s="2" t="s">
        <v>1389</v>
      </c>
      <c r="D460" s="2" t="s">
        <v>1390</v>
      </c>
      <c r="E460" s="3">
        <v>45792</v>
      </c>
      <c r="F460" s="3">
        <v>46157</v>
      </c>
      <c r="G460" s="4">
        <v>0</v>
      </c>
      <c r="H460" s="10">
        <v>0.1075</v>
      </c>
      <c r="I460" s="10">
        <v>0.1062</v>
      </c>
      <c r="J460" s="5">
        <v>1538750</v>
      </c>
      <c r="K460" s="5">
        <v>1350000</v>
      </c>
      <c r="L460" s="5">
        <v>188750</v>
      </c>
      <c r="M460" s="4">
        <v>0.88</v>
      </c>
      <c r="N460" s="2">
        <v>1</v>
      </c>
      <c r="O460" s="5">
        <v>0</v>
      </c>
      <c r="P460" s="5">
        <v>12094</v>
      </c>
      <c r="Q460" s="3">
        <v>46023</v>
      </c>
      <c r="R460" s="6">
        <f t="shared" si="19"/>
        <v>0</v>
      </c>
    </row>
    <row r="461" spans="1:18" x14ac:dyDescent="0.25">
      <c r="A461" s="2" t="s">
        <v>578</v>
      </c>
      <c r="B461" s="2" t="s">
        <v>1391</v>
      </c>
      <c r="C461" s="2" t="s">
        <v>1392</v>
      </c>
      <c r="D461" s="2" t="s">
        <v>1393</v>
      </c>
      <c r="E461" s="3">
        <v>45792</v>
      </c>
      <c r="F461" s="3">
        <v>46157</v>
      </c>
      <c r="G461" s="4">
        <v>0</v>
      </c>
      <c r="H461" s="10">
        <v>0.105</v>
      </c>
      <c r="I461" s="10">
        <v>0.104</v>
      </c>
      <c r="J461" s="5">
        <v>252750</v>
      </c>
      <c r="K461" s="5">
        <v>252750</v>
      </c>
      <c r="L461" s="5">
        <v>0</v>
      </c>
      <c r="M461" s="4">
        <v>1</v>
      </c>
      <c r="N461" s="2">
        <v>1</v>
      </c>
      <c r="O461" s="5">
        <v>0</v>
      </c>
      <c r="P461" s="5">
        <v>2212</v>
      </c>
      <c r="Q461" s="3">
        <v>46023</v>
      </c>
      <c r="R461" s="6">
        <f t="shared" si="19"/>
        <v>0</v>
      </c>
    </row>
    <row r="462" spans="1:18" x14ac:dyDescent="0.25">
      <c r="A462" s="2" t="s">
        <v>578</v>
      </c>
      <c r="B462" s="2" t="s">
        <v>1394</v>
      </c>
      <c r="C462" s="2" t="s">
        <v>1395</v>
      </c>
      <c r="D462" s="2" t="s">
        <v>1396</v>
      </c>
      <c r="E462" s="3">
        <v>45793</v>
      </c>
      <c r="F462" s="3">
        <v>46158</v>
      </c>
      <c r="G462" s="4">
        <v>0</v>
      </c>
      <c r="H462" s="10">
        <v>0.11</v>
      </c>
      <c r="I462" s="10">
        <v>0.1071</v>
      </c>
      <c r="J462" s="5">
        <v>247850</v>
      </c>
      <c r="K462" s="5">
        <v>171350</v>
      </c>
      <c r="L462" s="5">
        <v>76500</v>
      </c>
      <c r="M462" s="4">
        <v>0.69</v>
      </c>
      <c r="N462" s="2">
        <v>11</v>
      </c>
      <c r="O462" s="5">
        <v>0</v>
      </c>
      <c r="P462" s="5">
        <v>1340</v>
      </c>
      <c r="Q462" s="3">
        <v>46023</v>
      </c>
      <c r="R462" s="6">
        <f t="shared" si="19"/>
        <v>0</v>
      </c>
    </row>
    <row r="463" spans="1:18" x14ac:dyDescent="0.25">
      <c r="A463" s="2" t="s">
        <v>578</v>
      </c>
      <c r="B463" s="2" t="s">
        <v>1397</v>
      </c>
      <c r="C463" s="2" t="s">
        <v>1398</v>
      </c>
      <c r="D463" s="2" t="s">
        <v>1399</v>
      </c>
      <c r="E463" s="3">
        <v>45793</v>
      </c>
      <c r="F463" s="3">
        <v>46158</v>
      </c>
      <c r="G463" s="4">
        <v>0</v>
      </c>
      <c r="H463" s="10">
        <v>0.1095</v>
      </c>
      <c r="I463" s="10">
        <v>0.107</v>
      </c>
      <c r="J463" s="5">
        <v>324030</v>
      </c>
      <c r="K463" s="5">
        <v>281480</v>
      </c>
      <c r="L463" s="5">
        <v>42550</v>
      </c>
      <c r="M463" s="4">
        <v>0.87</v>
      </c>
      <c r="N463" s="2">
        <v>3</v>
      </c>
      <c r="O463" s="5">
        <v>0</v>
      </c>
      <c r="P463" s="5">
        <v>2564</v>
      </c>
      <c r="Q463" s="3">
        <v>46023</v>
      </c>
      <c r="R463" s="6">
        <f t="shared" si="19"/>
        <v>0</v>
      </c>
    </row>
    <row r="464" spans="1:18" x14ac:dyDescent="0.25">
      <c r="A464" s="2" t="s">
        <v>578</v>
      </c>
      <c r="B464" s="2" t="s">
        <v>1400</v>
      </c>
      <c r="C464" s="2" t="s">
        <v>1401</v>
      </c>
      <c r="D464" s="2" t="s">
        <v>1402</v>
      </c>
      <c r="E464" s="3">
        <v>45793</v>
      </c>
      <c r="F464" s="3">
        <v>46158</v>
      </c>
      <c r="G464" s="4">
        <v>0</v>
      </c>
      <c r="H464" s="10">
        <v>0.1125</v>
      </c>
      <c r="I464" s="10">
        <v>0.11219999999999999</v>
      </c>
      <c r="J464" s="5">
        <v>542850</v>
      </c>
      <c r="K464" s="5">
        <v>470116</v>
      </c>
      <c r="L464" s="5">
        <v>72734</v>
      </c>
      <c r="M464" s="4">
        <v>0.87</v>
      </c>
      <c r="N464" s="2">
        <v>7</v>
      </c>
      <c r="O464" s="5">
        <v>0</v>
      </c>
      <c r="P464" s="5">
        <v>3354</v>
      </c>
      <c r="Q464" s="3">
        <v>46023</v>
      </c>
      <c r="R464" s="6">
        <f t="shared" si="19"/>
        <v>0</v>
      </c>
    </row>
    <row r="465" spans="1:18" x14ac:dyDescent="0.25">
      <c r="A465" s="2" t="s">
        <v>578</v>
      </c>
      <c r="B465" s="2" t="s">
        <v>1403</v>
      </c>
      <c r="C465" s="2" t="s">
        <v>1404</v>
      </c>
      <c r="D465" s="2" t="s">
        <v>1405</v>
      </c>
      <c r="E465" s="3">
        <v>45796</v>
      </c>
      <c r="F465" s="3">
        <v>46161</v>
      </c>
      <c r="G465" s="4">
        <v>0</v>
      </c>
      <c r="H465" s="10">
        <v>0.1075</v>
      </c>
      <c r="I465" s="10">
        <v>0.1062</v>
      </c>
      <c r="J465" s="5">
        <v>167500</v>
      </c>
      <c r="K465" s="5">
        <v>161250</v>
      </c>
      <c r="L465" s="5">
        <v>6250</v>
      </c>
      <c r="M465" s="4">
        <v>0.96</v>
      </c>
      <c r="N465" s="2">
        <v>5</v>
      </c>
      <c r="O465" s="5">
        <v>0</v>
      </c>
      <c r="P465" s="5">
        <v>1445</v>
      </c>
      <c r="Q465" s="3">
        <v>46023</v>
      </c>
      <c r="R465" s="6">
        <f t="shared" si="19"/>
        <v>0</v>
      </c>
    </row>
    <row r="466" spans="1:18" x14ac:dyDescent="0.25">
      <c r="A466" s="2" t="s">
        <v>578</v>
      </c>
      <c r="B466" s="2" t="s">
        <v>1406</v>
      </c>
      <c r="C466" s="2" t="s">
        <v>1407</v>
      </c>
      <c r="D466" s="2" t="s">
        <v>1408</v>
      </c>
      <c r="E466" s="3">
        <v>45796</v>
      </c>
      <c r="F466" s="3">
        <v>46161</v>
      </c>
      <c r="G466" s="4">
        <v>0</v>
      </c>
      <c r="H466" s="10">
        <v>0.105</v>
      </c>
      <c r="I466" s="10">
        <v>0.104</v>
      </c>
      <c r="J466" s="5">
        <v>507200</v>
      </c>
      <c r="K466" s="5">
        <v>471450</v>
      </c>
      <c r="L466" s="5">
        <v>35750</v>
      </c>
      <c r="M466" s="4">
        <v>0.93</v>
      </c>
      <c r="N466" s="2">
        <v>3</v>
      </c>
      <c r="O466" s="5">
        <v>4125</v>
      </c>
      <c r="P466" s="5">
        <v>4125</v>
      </c>
      <c r="Q466" s="3">
        <v>45992</v>
      </c>
      <c r="R466" s="6">
        <f t="shared" si="19"/>
        <v>0</v>
      </c>
    </row>
    <row r="467" spans="1:18" x14ac:dyDescent="0.25">
      <c r="A467" s="2" t="s">
        <v>578</v>
      </c>
      <c r="B467" s="2" t="s">
        <v>1409</v>
      </c>
      <c r="C467" s="2" t="s">
        <v>1410</v>
      </c>
      <c r="D467" s="2" t="s">
        <v>1411</v>
      </c>
      <c r="E467" s="3">
        <v>45796</v>
      </c>
      <c r="F467" s="3">
        <v>46161</v>
      </c>
      <c r="G467" s="4">
        <v>0</v>
      </c>
      <c r="H467" s="10">
        <v>0.105</v>
      </c>
      <c r="I467" s="10">
        <v>0.104</v>
      </c>
      <c r="J467" s="5">
        <v>495712</v>
      </c>
      <c r="K467" s="5">
        <v>495712</v>
      </c>
      <c r="L467" s="5">
        <v>0</v>
      </c>
      <c r="M467" s="4">
        <v>1</v>
      </c>
      <c r="N467" s="2">
        <v>2</v>
      </c>
      <c r="O467" s="5">
        <v>0</v>
      </c>
      <c r="P467" s="5">
        <v>4337</v>
      </c>
      <c r="Q467" s="3">
        <v>46023</v>
      </c>
      <c r="R467" s="6">
        <f t="shared" si="19"/>
        <v>0</v>
      </c>
    </row>
    <row r="468" spans="1:18" x14ac:dyDescent="0.25">
      <c r="A468" s="2" t="s">
        <v>578</v>
      </c>
      <c r="B468" s="2" t="s">
        <v>1412</v>
      </c>
      <c r="C468" s="2" t="s">
        <v>1413</v>
      </c>
      <c r="D468" s="2" t="s">
        <v>1414</v>
      </c>
      <c r="E468" s="3">
        <v>45797</v>
      </c>
      <c r="F468" s="3">
        <v>46162</v>
      </c>
      <c r="G468" s="4">
        <v>0</v>
      </c>
      <c r="H468" s="10">
        <v>0.105</v>
      </c>
      <c r="I468" s="10">
        <v>0.104</v>
      </c>
      <c r="J468" s="5">
        <v>720000</v>
      </c>
      <c r="K468" s="5">
        <v>720000</v>
      </c>
      <c r="L468" s="5">
        <v>0</v>
      </c>
      <c r="M468" s="4">
        <v>1</v>
      </c>
      <c r="N468" s="2">
        <v>1</v>
      </c>
      <c r="O468" s="5">
        <v>0</v>
      </c>
      <c r="P468" s="5">
        <v>6300</v>
      </c>
      <c r="Q468" s="3">
        <v>46023</v>
      </c>
      <c r="R468" s="6">
        <f t="shared" si="19"/>
        <v>0</v>
      </c>
    </row>
    <row r="469" spans="1:18" x14ac:dyDescent="0.25">
      <c r="A469" s="2" t="s">
        <v>578</v>
      </c>
      <c r="B469" s="2" t="s">
        <v>1415</v>
      </c>
      <c r="C469" s="2" t="s">
        <v>1416</v>
      </c>
      <c r="D469" s="2" t="s">
        <v>1417</v>
      </c>
      <c r="E469" s="3">
        <v>45797</v>
      </c>
      <c r="F469" s="3">
        <v>46162</v>
      </c>
      <c r="G469" s="4">
        <v>0</v>
      </c>
      <c r="H469" s="10">
        <v>0.1075</v>
      </c>
      <c r="I469" s="10">
        <v>0.1048</v>
      </c>
      <c r="J469" s="5">
        <v>359200</v>
      </c>
      <c r="K469" s="5">
        <v>317900</v>
      </c>
      <c r="L469" s="5">
        <v>41300</v>
      </c>
      <c r="M469" s="4">
        <v>0.88</v>
      </c>
      <c r="N469" s="2">
        <v>3</v>
      </c>
      <c r="O469" s="5">
        <v>0</v>
      </c>
      <c r="P469" s="5">
        <v>2848</v>
      </c>
      <c r="Q469" s="3">
        <v>46023</v>
      </c>
      <c r="R469" s="6">
        <f t="shared" si="19"/>
        <v>0</v>
      </c>
    </row>
    <row r="470" spans="1:18" x14ac:dyDescent="0.25">
      <c r="A470" s="2" t="s">
        <v>578</v>
      </c>
      <c r="B470" s="2" t="s">
        <v>1418</v>
      </c>
      <c r="C470" s="2" t="s">
        <v>1419</v>
      </c>
      <c r="D470" s="2" t="s">
        <v>1420</v>
      </c>
      <c r="E470" s="3">
        <v>45798</v>
      </c>
      <c r="F470" s="3">
        <v>46163</v>
      </c>
      <c r="G470" s="4">
        <v>0</v>
      </c>
      <c r="H470" s="10">
        <v>0.105</v>
      </c>
      <c r="I470" s="10">
        <v>0.104</v>
      </c>
      <c r="J470" s="5">
        <v>150312</v>
      </c>
      <c r="K470" s="5">
        <v>116462</v>
      </c>
      <c r="L470" s="5">
        <v>33850</v>
      </c>
      <c r="M470" s="4">
        <v>0.77</v>
      </c>
      <c r="N470" s="2">
        <v>2</v>
      </c>
      <c r="O470" s="5">
        <v>0</v>
      </c>
      <c r="P470" s="5">
        <v>1019</v>
      </c>
      <c r="Q470" s="3">
        <v>46023</v>
      </c>
      <c r="R470" s="6">
        <f t="shared" si="19"/>
        <v>0</v>
      </c>
    </row>
    <row r="471" spans="1:18" x14ac:dyDescent="0.25">
      <c r="A471" s="2" t="s">
        <v>578</v>
      </c>
      <c r="B471" s="2" t="s">
        <v>1421</v>
      </c>
      <c r="C471" s="2" t="s">
        <v>1422</v>
      </c>
      <c r="D471" s="2" t="s">
        <v>1423</v>
      </c>
      <c r="E471" s="3">
        <v>45799</v>
      </c>
      <c r="F471" s="3">
        <v>46348</v>
      </c>
      <c r="G471" s="4">
        <v>0</v>
      </c>
      <c r="H471" s="10">
        <v>9.9900000000000003E-2</v>
      </c>
      <c r="I471" s="10">
        <v>9.9699999999999997E-2</v>
      </c>
      <c r="J471" s="5">
        <v>423000</v>
      </c>
      <c r="K471" s="5">
        <v>423000</v>
      </c>
      <c r="L471" s="5">
        <v>0</v>
      </c>
      <c r="M471" s="4">
        <v>1</v>
      </c>
      <c r="N471" s="2">
        <v>1</v>
      </c>
      <c r="O471" s="5">
        <v>0</v>
      </c>
      <c r="P471" s="5">
        <v>3521</v>
      </c>
      <c r="Q471" s="3">
        <v>46023</v>
      </c>
      <c r="R471" s="6">
        <f t="shared" si="19"/>
        <v>0</v>
      </c>
    </row>
    <row r="472" spans="1:18" x14ac:dyDescent="0.25">
      <c r="A472" s="2" t="s">
        <v>578</v>
      </c>
      <c r="B472" s="2" t="s">
        <v>1424</v>
      </c>
      <c r="C472" s="2" t="s">
        <v>1425</v>
      </c>
      <c r="D472" s="2" t="s">
        <v>1426</v>
      </c>
      <c r="E472" s="3">
        <v>45799</v>
      </c>
      <c r="F472" s="3">
        <v>46164</v>
      </c>
      <c r="G472" s="4">
        <v>0</v>
      </c>
      <c r="H472" s="10">
        <v>0.105</v>
      </c>
      <c r="I472" s="10">
        <v>0.104</v>
      </c>
      <c r="J472" s="5">
        <v>476700</v>
      </c>
      <c r="K472" s="5">
        <v>476700</v>
      </c>
      <c r="L472" s="5">
        <v>0</v>
      </c>
      <c r="M472" s="4">
        <v>1</v>
      </c>
      <c r="N472" s="2">
        <v>3</v>
      </c>
      <c r="O472" s="5">
        <v>0</v>
      </c>
      <c r="P472" s="5">
        <v>4171</v>
      </c>
      <c r="Q472" s="3">
        <v>46023</v>
      </c>
      <c r="R472" s="6">
        <f t="shared" si="19"/>
        <v>0</v>
      </c>
    </row>
    <row r="473" spans="1:18" x14ac:dyDescent="0.25">
      <c r="A473" s="2" t="s">
        <v>578</v>
      </c>
      <c r="B473" s="2" t="s">
        <v>1427</v>
      </c>
      <c r="C473" s="2" t="s">
        <v>1428</v>
      </c>
      <c r="D473" s="2" t="s">
        <v>1429</v>
      </c>
      <c r="E473" s="3">
        <v>45799</v>
      </c>
      <c r="F473" s="3">
        <v>46164</v>
      </c>
      <c r="G473" s="4">
        <v>0</v>
      </c>
      <c r="H473" s="10">
        <v>0.11</v>
      </c>
      <c r="I473" s="10">
        <v>0.1071</v>
      </c>
      <c r="J473" s="5">
        <v>273800</v>
      </c>
      <c r="K473" s="5">
        <v>273800</v>
      </c>
      <c r="L473" s="5">
        <v>0</v>
      </c>
      <c r="M473" s="4">
        <v>1</v>
      </c>
      <c r="N473" s="2">
        <v>2</v>
      </c>
      <c r="O473" s="5">
        <v>0</v>
      </c>
      <c r="P473" s="5">
        <v>2510</v>
      </c>
      <c r="Q473" s="3">
        <v>46023</v>
      </c>
      <c r="R473" s="6">
        <f t="shared" si="19"/>
        <v>0</v>
      </c>
    </row>
    <row r="474" spans="1:18" x14ac:dyDescent="0.25">
      <c r="A474" s="2" t="s">
        <v>578</v>
      </c>
      <c r="B474" s="2" t="s">
        <v>1430</v>
      </c>
      <c r="C474" s="2" t="s">
        <v>1431</v>
      </c>
      <c r="D474" s="2" t="s">
        <v>1432</v>
      </c>
      <c r="E474" s="3">
        <v>45800</v>
      </c>
      <c r="F474" s="3">
        <v>46165</v>
      </c>
      <c r="G474" s="4">
        <v>0</v>
      </c>
      <c r="H474" s="10">
        <v>0.1075</v>
      </c>
      <c r="I474" s="10">
        <v>0.1048</v>
      </c>
      <c r="J474" s="5">
        <v>408500</v>
      </c>
      <c r="K474" s="5">
        <v>406710</v>
      </c>
      <c r="L474" s="5">
        <v>1790</v>
      </c>
      <c r="M474" s="4">
        <v>1</v>
      </c>
      <c r="N474" s="2">
        <v>3</v>
      </c>
      <c r="O474" s="5">
        <v>0</v>
      </c>
      <c r="P474" s="5">
        <v>3643</v>
      </c>
      <c r="Q474" s="3">
        <v>46023</v>
      </c>
      <c r="R474" s="6">
        <f t="shared" si="19"/>
        <v>0</v>
      </c>
    </row>
    <row r="475" spans="1:18" x14ac:dyDescent="0.25">
      <c r="A475" s="2" t="s">
        <v>578</v>
      </c>
      <c r="B475" s="2" t="s">
        <v>1433</v>
      </c>
      <c r="C475" s="2" t="s">
        <v>1434</v>
      </c>
      <c r="D475" s="2" t="s">
        <v>1435</v>
      </c>
      <c r="E475" s="3">
        <v>45800</v>
      </c>
      <c r="F475" s="3">
        <v>46165</v>
      </c>
      <c r="G475" s="4">
        <v>0</v>
      </c>
      <c r="H475" s="10">
        <v>0.1</v>
      </c>
      <c r="I475" s="10">
        <v>9.9500000000000005E-2</v>
      </c>
      <c r="J475" s="5">
        <v>480000</v>
      </c>
      <c r="K475" s="5">
        <v>480000</v>
      </c>
      <c r="L475" s="5">
        <v>0</v>
      </c>
      <c r="M475" s="4">
        <v>1</v>
      </c>
      <c r="N475" s="2">
        <v>1</v>
      </c>
      <c r="O475" s="5">
        <v>0</v>
      </c>
      <c r="P475" s="5">
        <v>4000</v>
      </c>
      <c r="Q475" s="3">
        <v>46023</v>
      </c>
      <c r="R475" s="6">
        <f t="shared" si="19"/>
        <v>0</v>
      </c>
    </row>
    <row r="476" spans="1:18" x14ac:dyDescent="0.25">
      <c r="A476" s="2" t="s">
        <v>578</v>
      </c>
      <c r="B476" s="2" t="s">
        <v>1436</v>
      </c>
      <c r="C476" s="2" t="s">
        <v>1437</v>
      </c>
      <c r="D476" s="2" t="s">
        <v>1438</v>
      </c>
      <c r="E476" s="3">
        <v>45800</v>
      </c>
      <c r="F476" s="3">
        <v>46165</v>
      </c>
      <c r="G476" s="4">
        <v>0</v>
      </c>
      <c r="H476" s="10">
        <v>0.1075</v>
      </c>
      <c r="I476" s="10">
        <v>0.1062</v>
      </c>
      <c r="J476" s="5">
        <v>283420</v>
      </c>
      <c r="K476" s="5">
        <v>280220</v>
      </c>
      <c r="L476" s="5">
        <v>3200</v>
      </c>
      <c r="M476" s="4">
        <v>0.99</v>
      </c>
      <c r="N476" s="2">
        <v>4</v>
      </c>
      <c r="O476" s="5">
        <v>0</v>
      </c>
      <c r="P476" s="5">
        <v>2313</v>
      </c>
      <c r="Q476" s="3">
        <v>46023</v>
      </c>
      <c r="R476" s="6">
        <f t="shared" si="19"/>
        <v>0</v>
      </c>
    </row>
    <row r="477" spans="1:18" x14ac:dyDescent="0.25">
      <c r="A477" s="2" t="s">
        <v>578</v>
      </c>
      <c r="B477" s="2" t="s">
        <v>1439</v>
      </c>
      <c r="C477" s="2" t="s">
        <v>1440</v>
      </c>
      <c r="D477" s="2" t="s">
        <v>1441</v>
      </c>
      <c r="E477" s="3">
        <v>45804</v>
      </c>
      <c r="F477" s="3">
        <v>46169</v>
      </c>
      <c r="G477" s="4">
        <v>0</v>
      </c>
      <c r="H477" s="10">
        <v>0.1075</v>
      </c>
      <c r="I477" s="10">
        <v>0.1062</v>
      </c>
      <c r="J477" s="5">
        <v>207199</v>
      </c>
      <c r="K477" s="5">
        <v>173700</v>
      </c>
      <c r="L477" s="5">
        <v>33499</v>
      </c>
      <c r="M477" s="4">
        <v>0.84</v>
      </c>
      <c r="N477" s="2">
        <v>1</v>
      </c>
      <c r="O477" s="5">
        <v>0</v>
      </c>
      <c r="P477" s="5">
        <v>1556</v>
      </c>
      <c r="Q477" s="3">
        <v>46023</v>
      </c>
      <c r="R477" s="6">
        <f t="shared" si="19"/>
        <v>0</v>
      </c>
    </row>
    <row r="478" spans="1:18" x14ac:dyDescent="0.25">
      <c r="A478" s="2" t="s">
        <v>578</v>
      </c>
      <c r="B478" s="2" t="s">
        <v>1442</v>
      </c>
      <c r="C478" s="2" t="s">
        <v>1443</v>
      </c>
      <c r="D478" s="2" t="s">
        <v>1444</v>
      </c>
      <c r="E478" s="3">
        <v>45805</v>
      </c>
      <c r="F478" s="3">
        <v>46170</v>
      </c>
      <c r="G478" s="4">
        <v>0</v>
      </c>
      <c r="H478" s="10">
        <v>0.1075</v>
      </c>
      <c r="I478" s="10">
        <v>0.1026</v>
      </c>
      <c r="J478" s="5">
        <v>280050</v>
      </c>
      <c r="K478" s="5">
        <v>280050</v>
      </c>
      <c r="L478" s="5">
        <v>0</v>
      </c>
      <c r="M478" s="4">
        <v>1</v>
      </c>
      <c r="N478" s="2">
        <v>4</v>
      </c>
      <c r="O478" s="5">
        <v>0</v>
      </c>
      <c r="P478" s="5">
        <v>2509</v>
      </c>
      <c r="Q478" s="3">
        <v>46023</v>
      </c>
      <c r="R478" s="6">
        <f t="shared" si="19"/>
        <v>0</v>
      </c>
    </row>
    <row r="479" spans="1:18" x14ac:dyDescent="0.25">
      <c r="A479" s="2" t="s">
        <v>578</v>
      </c>
      <c r="B479" s="2" t="s">
        <v>1445</v>
      </c>
      <c r="C479" s="2" t="s">
        <v>1446</v>
      </c>
      <c r="D479" s="2" t="s">
        <v>1447</v>
      </c>
      <c r="E479" s="3">
        <v>45806</v>
      </c>
      <c r="F479" s="3">
        <v>46171</v>
      </c>
      <c r="G479" s="4">
        <v>0</v>
      </c>
      <c r="H479" s="10">
        <v>0.105</v>
      </c>
      <c r="I479" s="10">
        <v>0.104</v>
      </c>
      <c r="J479" s="5">
        <v>396800</v>
      </c>
      <c r="K479" s="5">
        <v>394523</v>
      </c>
      <c r="L479" s="5">
        <v>2277</v>
      </c>
      <c r="M479" s="4">
        <v>0.99</v>
      </c>
      <c r="N479" s="2">
        <v>3</v>
      </c>
      <c r="O479" s="5">
        <v>0</v>
      </c>
      <c r="P479" s="5">
        <v>3452</v>
      </c>
      <c r="Q479" s="3">
        <v>46023</v>
      </c>
      <c r="R479" s="6">
        <f t="shared" si="19"/>
        <v>0</v>
      </c>
    </row>
    <row r="480" spans="1:18" x14ac:dyDescent="0.25">
      <c r="A480" s="2" t="s">
        <v>578</v>
      </c>
      <c r="B480" s="2" t="s">
        <v>1448</v>
      </c>
      <c r="C480" s="2" t="s">
        <v>1449</v>
      </c>
      <c r="D480" s="2" t="s">
        <v>1450</v>
      </c>
      <c r="E480" s="3">
        <v>45806</v>
      </c>
      <c r="F480" s="3">
        <v>46171</v>
      </c>
      <c r="G480" s="4">
        <v>0</v>
      </c>
      <c r="H480" s="10">
        <v>0.105</v>
      </c>
      <c r="I480" s="10">
        <v>0.104</v>
      </c>
      <c r="J480" s="5">
        <v>884000</v>
      </c>
      <c r="K480" s="5">
        <v>884000</v>
      </c>
      <c r="L480" s="5">
        <v>0</v>
      </c>
      <c r="M480" s="4">
        <v>1</v>
      </c>
      <c r="N480" s="2">
        <v>3</v>
      </c>
      <c r="O480" s="5">
        <v>0</v>
      </c>
      <c r="P480" s="5">
        <v>6826</v>
      </c>
      <c r="Q480" s="3">
        <v>46023</v>
      </c>
      <c r="R480" s="6">
        <f t="shared" si="19"/>
        <v>0</v>
      </c>
    </row>
    <row r="481" spans="1:18" x14ac:dyDescent="0.25">
      <c r="A481" s="2" t="s">
        <v>578</v>
      </c>
      <c r="B481" s="2" t="s">
        <v>1451</v>
      </c>
      <c r="C481" s="2" t="s">
        <v>1452</v>
      </c>
      <c r="D481" s="2" t="s">
        <v>1453</v>
      </c>
      <c r="E481" s="3">
        <v>45807</v>
      </c>
      <c r="F481" s="3">
        <v>46172</v>
      </c>
      <c r="G481" s="4">
        <v>0</v>
      </c>
      <c r="H481" s="10">
        <v>0.1075</v>
      </c>
      <c r="I481" s="10">
        <v>0.1062</v>
      </c>
      <c r="J481" s="5">
        <v>454500</v>
      </c>
      <c r="K481" s="5">
        <v>454500</v>
      </c>
      <c r="L481" s="5">
        <v>0</v>
      </c>
      <c r="M481" s="4">
        <v>1</v>
      </c>
      <c r="N481" s="2">
        <v>1</v>
      </c>
      <c r="O481" s="5">
        <v>0</v>
      </c>
      <c r="P481" s="5">
        <v>4072</v>
      </c>
      <c r="Q481" s="3">
        <v>46023</v>
      </c>
      <c r="R481" s="6">
        <f t="shared" si="19"/>
        <v>0</v>
      </c>
    </row>
    <row r="482" spans="1:18" x14ac:dyDescent="0.25">
      <c r="A482" s="2" t="s">
        <v>578</v>
      </c>
      <c r="B482" s="2" t="s">
        <v>1454</v>
      </c>
      <c r="C482" s="2" t="s">
        <v>1455</v>
      </c>
      <c r="D482" s="2" t="s">
        <v>1456</v>
      </c>
      <c r="E482" s="3">
        <v>45807</v>
      </c>
      <c r="F482" s="3">
        <v>46172</v>
      </c>
      <c r="G482" s="4">
        <v>0</v>
      </c>
      <c r="H482" s="10">
        <v>0.105</v>
      </c>
      <c r="I482" s="10">
        <v>0.104</v>
      </c>
      <c r="J482" s="5">
        <v>360000</v>
      </c>
      <c r="K482" s="5">
        <v>360000</v>
      </c>
      <c r="L482" s="5">
        <v>0</v>
      </c>
      <c r="M482" s="4">
        <v>1</v>
      </c>
      <c r="N482" s="2">
        <v>1</v>
      </c>
      <c r="O482" s="5">
        <v>0</v>
      </c>
      <c r="P482" s="5">
        <v>3150</v>
      </c>
      <c r="Q482" s="3">
        <v>46023</v>
      </c>
      <c r="R482" s="6">
        <f t="shared" si="19"/>
        <v>0</v>
      </c>
    </row>
    <row r="483" spans="1:18" x14ac:dyDescent="0.25">
      <c r="A483" s="2" t="s">
        <v>578</v>
      </c>
      <c r="B483" s="2" t="s">
        <v>1457</v>
      </c>
      <c r="C483" s="2" t="s">
        <v>1458</v>
      </c>
      <c r="D483" s="2" t="s">
        <v>1459</v>
      </c>
      <c r="E483" s="3">
        <v>45810</v>
      </c>
      <c r="F483" s="3">
        <v>46175</v>
      </c>
      <c r="G483" s="4">
        <v>0</v>
      </c>
      <c r="H483" s="10">
        <v>0.11749999999999999</v>
      </c>
      <c r="I483" s="10">
        <v>0.1172</v>
      </c>
      <c r="J483" s="5">
        <v>231400</v>
      </c>
      <c r="K483" s="5">
        <v>182217</v>
      </c>
      <c r="L483" s="5">
        <v>49183</v>
      </c>
      <c r="M483" s="4">
        <v>0.79</v>
      </c>
      <c r="N483" s="2">
        <v>4</v>
      </c>
      <c r="O483" s="5">
        <v>0</v>
      </c>
      <c r="P483" s="5">
        <v>1784</v>
      </c>
      <c r="Q483" s="3">
        <v>46023</v>
      </c>
      <c r="R483" s="6">
        <f t="shared" si="19"/>
        <v>0</v>
      </c>
    </row>
    <row r="484" spans="1:18" x14ac:dyDescent="0.25">
      <c r="A484" s="2" t="s">
        <v>578</v>
      </c>
      <c r="B484" s="2" t="s">
        <v>1460</v>
      </c>
      <c r="C484" s="2" t="s">
        <v>1461</v>
      </c>
      <c r="D484" s="2" t="s">
        <v>1462</v>
      </c>
      <c r="E484" s="3">
        <v>45811</v>
      </c>
      <c r="F484" s="3">
        <v>46176</v>
      </c>
      <c r="G484" s="4">
        <v>0</v>
      </c>
      <c r="H484" s="10">
        <v>0.11</v>
      </c>
      <c r="I484" s="10">
        <v>0.1031</v>
      </c>
      <c r="J484" s="5">
        <v>163800</v>
      </c>
      <c r="K484" s="5">
        <v>150870</v>
      </c>
      <c r="L484" s="5">
        <v>12930</v>
      </c>
      <c r="M484" s="4">
        <v>0.92</v>
      </c>
      <c r="N484" s="2">
        <v>5</v>
      </c>
      <c r="O484" s="5">
        <v>0</v>
      </c>
      <c r="P484" s="5">
        <v>1332</v>
      </c>
      <c r="Q484" s="3">
        <v>46023</v>
      </c>
      <c r="R484" s="6">
        <f t="shared" si="19"/>
        <v>0</v>
      </c>
    </row>
    <row r="485" spans="1:18" x14ac:dyDescent="0.25">
      <c r="A485" s="2" t="s">
        <v>578</v>
      </c>
      <c r="B485" s="2" t="s">
        <v>1463</v>
      </c>
      <c r="C485" s="2" t="s">
        <v>1464</v>
      </c>
      <c r="D485" s="2" t="s">
        <v>1465</v>
      </c>
      <c r="E485" s="3">
        <v>45811</v>
      </c>
      <c r="F485" s="3">
        <v>46176</v>
      </c>
      <c r="G485" s="4">
        <v>0</v>
      </c>
      <c r="H485" s="10">
        <v>0.105</v>
      </c>
      <c r="I485" s="10">
        <v>0.1021</v>
      </c>
      <c r="J485" s="5">
        <v>495000</v>
      </c>
      <c r="K485" s="5">
        <v>495000</v>
      </c>
      <c r="L485" s="5">
        <v>0</v>
      </c>
      <c r="M485" s="4">
        <v>1</v>
      </c>
      <c r="N485" s="2">
        <v>6</v>
      </c>
      <c r="O485" s="5">
        <v>1095</v>
      </c>
      <c r="P485" s="5">
        <v>4281</v>
      </c>
      <c r="Q485" s="3">
        <v>46023</v>
      </c>
      <c r="R485" s="6">
        <f t="shared" si="19"/>
        <v>0</v>
      </c>
    </row>
    <row r="486" spans="1:18" x14ac:dyDescent="0.25">
      <c r="A486" s="2" t="s">
        <v>578</v>
      </c>
      <c r="B486" s="2" t="s">
        <v>1466</v>
      </c>
      <c r="C486" s="2" t="s">
        <v>1467</v>
      </c>
      <c r="D486" s="2" t="s">
        <v>1468</v>
      </c>
      <c r="E486" s="3">
        <v>45812</v>
      </c>
      <c r="F486" s="3">
        <v>46360</v>
      </c>
      <c r="G486" s="4">
        <v>0</v>
      </c>
      <c r="H486" s="10">
        <v>0.115</v>
      </c>
      <c r="I486" s="10">
        <v>0.114</v>
      </c>
      <c r="J486" s="5">
        <v>1522285</v>
      </c>
      <c r="K486" s="5">
        <v>981833</v>
      </c>
      <c r="L486" s="5">
        <v>540452</v>
      </c>
      <c r="M486" s="4">
        <v>0.64</v>
      </c>
      <c r="N486" s="2">
        <v>2</v>
      </c>
      <c r="O486" s="5">
        <v>0</v>
      </c>
      <c r="P486" s="5">
        <v>9409</v>
      </c>
      <c r="Q486" s="3">
        <v>46054</v>
      </c>
      <c r="R486" s="6">
        <f t="shared" si="19"/>
        <v>0</v>
      </c>
    </row>
    <row r="487" spans="1:18" x14ac:dyDescent="0.25">
      <c r="A487" s="2" t="s">
        <v>578</v>
      </c>
      <c r="B487" s="2" t="s">
        <v>1469</v>
      </c>
      <c r="C487" s="2" t="s">
        <v>1470</v>
      </c>
      <c r="D487" s="2" t="s">
        <v>1471</v>
      </c>
      <c r="E487" s="3">
        <v>45813</v>
      </c>
      <c r="F487" s="3">
        <v>46178</v>
      </c>
      <c r="G487" s="4">
        <v>0</v>
      </c>
      <c r="H487" s="10">
        <v>0.105</v>
      </c>
      <c r="I487" s="10">
        <v>0.1021</v>
      </c>
      <c r="J487" s="5">
        <v>469000</v>
      </c>
      <c r="K487" s="5">
        <v>469000</v>
      </c>
      <c r="L487" s="5">
        <v>0</v>
      </c>
      <c r="M487" s="4">
        <v>1</v>
      </c>
      <c r="N487" s="2">
        <v>4</v>
      </c>
      <c r="O487" s="5">
        <v>0</v>
      </c>
      <c r="P487" s="5">
        <v>4104</v>
      </c>
      <c r="Q487" s="3">
        <v>46023</v>
      </c>
      <c r="R487" s="6">
        <f t="shared" si="19"/>
        <v>0</v>
      </c>
    </row>
    <row r="488" spans="1:18" x14ac:dyDescent="0.25">
      <c r="A488" s="2" t="s">
        <v>578</v>
      </c>
      <c r="B488" s="2" t="s">
        <v>1472</v>
      </c>
      <c r="C488" s="2" t="s">
        <v>1473</v>
      </c>
      <c r="D488" s="2" t="s">
        <v>1474</v>
      </c>
      <c r="E488" s="3">
        <v>45813</v>
      </c>
      <c r="F488" s="3">
        <v>46178</v>
      </c>
      <c r="G488" s="4">
        <v>0</v>
      </c>
      <c r="H488" s="10">
        <v>0.1099</v>
      </c>
      <c r="I488" s="10">
        <v>0.1031</v>
      </c>
      <c r="J488" s="5">
        <v>90800</v>
      </c>
      <c r="K488" s="5">
        <v>90800</v>
      </c>
      <c r="L488" s="5">
        <v>0</v>
      </c>
      <c r="M488" s="4">
        <v>1</v>
      </c>
      <c r="N488" s="2">
        <v>2</v>
      </c>
      <c r="O488" s="5">
        <v>0</v>
      </c>
      <c r="P488" s="5">
        <v>832</v>
      </c>
      <c r="Q488" s="3">
        <v>46023</v>
      </c>
      <c r="R488" s="6">
        <f t="shared" si="19"/>
        <v>0</v>
      </c>
    </row>
    <row r="489" spans="1:18" x14ac:dyDescent="0.25">
      <c r="A489" s="2" t="s">
        <v>578</v>
      </c>
      <c r="B489" s="2" t="s">
        <v>1475</v>
      </c>
      <c r="C489" s="2" t="s">
        <v>1476</v>
      </c>
      <c r="D489" s="2" t="s">
        <v>1477</v>
      </c>
      <c r="E489" s="3">
        <v>45813</v>
      </c>
      <c r="F489" s="3">
        <v>46178</v>
      </c>
      <c r="G489" s="4">
        <v>0</v>
      </c>
      <c r="H489" s="10">
        <v>0.105</v>
      </c>
      <c r="I489" s="10">
        <v>0.104</v>
      </c>
      <c r="J489" s="5">
        <v>412500</v>
      </c>
      <c r="K489" s="5">
        <v>412500</v>
      </c>
      <c r="L489" s="5">
        <v>0</v>
      </c>
      <c r="M489" s="4">
        <v>1</v>
      </c>
      <c r="N489" s="2">
        <v>1</v>
      </c>
      <c r="O489" s="5">
        <v>0</v>
      </c>
      <c r="P489" s="5">
        <v>3609</v>
      </c>
      <c r="Q489" s="3">
        <v>46023</v>
      </c>
      <c r="R489" s="6">
        <f t="shared" si="19"/>
        <v>0</v>
      </c>
    </row>
    <row r="490" spans="1:18" x14ac:dyDescent="0.25">
      <c r="A490" s="2" t="s">
        <v>578</v>
      </c>
      <c r="B490" s="2" t="s">
        <v>1478</v>
      </c>
      <c r="C490" s="2" t="s">
        <v>1479</v>
      </c>
      <c r="D490" s="2" t="s">
        <v>1480</v>
      </c>
      <c r="E490" s="3">
        <v>45813</v>
      </c>
      <c r="F490" s="3">
        <v>46178</v>
      </c>
      <c r="G490" s="4">
        <v>0</v>
      </c>
      <c r="H490" s="10">
        <v>0.105</v>
      </c>
      <c r="I490" s="10">
        <v>0.104</v>
      </c>
      <c r="J490" s="5">
        <v>420525</v>
      </c>
      <c r="K490" s="5">
        <v>420525</v>
      </c>
      <c r="L490" s="5">
        <v>0</v>
      </c>
      <c r="M490" s="4">
        <v>1</v>
      </c>
      <c r="N490" s="2">
        <v>1</v>
      </c>
      <c r="O490" s="5">
        <v>0</v>
      </c>
      <c r="P490" s="5">
        <v>3680</v>
      </c>
      <c r="Q490" s="3">
        <v>46054</v>
      </c>
      <c r="R490" s="6">
        <f t="shared" si="19"/>
        <v>0</v>
      </c>
    </row>
    <row r="491" spans="1:18" x14ac:dyDescent="0.25">
      <c r="A491" s="2" t="s">
        <v>578</v>
      </c>
      <c r="B491" s="2" t="s">
        <v>1481</v>
      </c>
      <c r="C491" s="2" t="s">
        <v>1482</v>
      </c>
      <c r="D491" s="2" t="s">
        <v>1483</v>
      </c>
      <c r="E491" s="3">
        <v>45814</v>
      </c>
      <c r="F491" s="3">
        <v>46179</v>
      </c>
      <c r="G491" s="4">
        <v>0</v>
      </c>
      <c r="H491" s="10">
        <v>0.115</v>
      </c>
      <c r="I491" s="10">
        <v>0.114</v>
      </c>
      <c r="J491" s="5">
        <v>236660</v>
      </c>
      <c r="K491" s="5">
        <v>36405</v>
      </c>
      <c r="L491" s="5">
        <v>200255</v>
      </c>
      <c r="M491" s="4">
        <v>0.15</v>
      </c>
      <c r="N491" s="2">
        <v>4</v>
      </c>
      <c r="O491" s="5">
        <v>0</v>
      </c>
      <c r="P491" s="5">
        <v>349</v>
      </c>
      <c r="Q491" s="3">
        <v>46023</v>
      </c>
      <c r="R491" s="6">
        <f t="shared" si="19"/>
        <v>0</v>
      </c>
    </row>
    <row r="492" spans="1:18" x14ac:dyDescent="0.25">
      <c r="A492" s="2" t="s">
        <v>578</v>
      </c>
      <c r="B492" s="2" t="s">
        <v>1484</v>
      </c>
      <c r="C492" s="2" t="s">
        <v>1485</v>
      </c>
      <c r="D492" s="2" t="s">
        <v>1486</v>
      </c>
      <c r="E492" s="3">
        <v>45814</v>
      </c>
      <c r="F492" s="3">
        <v>46179</v>
      </c>
      <c r="G492" s="4">
        <v>0</v>
      </c>
      <c r="H492" s="10">
        <v>0.115</v>
      </c>
      <c r="I492" s="10">
        <v>0.114</v>
      </c>
      <c r="J492" s="5">
        <v>242732</v>
      </c>
      <c r="K492" s="5">
        <v>182572</v>
      </c>
      <c r="L492" s="5">
        <v>60160</v>
      </c>
      <c r="M492" s="4">
        <v>0.75</v>
      </c>
      <c r="N492" s="2">
        <v>11</v>
      </c>
      <c r="O492" s="5">
        <v>0</v>
      </c>
      <c r="P492" s="5">
        <v>1671</v>
      </c>
      <c r="Q492" s="3">
        <v>46023</v>
      </c>
      <c r="R492" s="6">
        <f t="shared" si="19"/>
        <v>0</v>
      </c>
    </row>
    <row r="493" spans="1:18" x14ac:dyDescent="0.25">
      <c r="A493" s="2" t="s">
        <v>578</v>
      </c>
      <c r="B493" s="2" t="s">
        <v>1487</v>
      </c>
      <c r="C493" s="2" t="s">
        <v>1488</v>
      </c>
      <c r="D493" s="2" t="s">
        <v>1489</v>
      </c>
      <c r="E493" s="3">
        <v>45814</v>
      </c>
      <c r="F493" s="3">
        <v>46179</v>
      </c>
      <c r="G493" s="4">
        <v>0</v>
      </c>
      <c r="H493" s="10">
        <v>0.115</v>
      </c>
      <c r="I493" s="10">
        <v>0.114</v>
      </c>
      <c r="J493" s="5">
        <v>242732</v>
      </c>
      <c r="K493" s="5">
        <v>41052</v>
      </c>
      <c r="L493" s="5">
        <v>201680</v>
      </c>
      <c r="M493" s="4">
        <v>0.17</v>
      </c>
      <c r="N493" s="2">
        <v>4</v>
      </c>
      <c r="O493" s="5">
        <v>0</v>
      </c>
      <c r="P493" s="5">
        <v>393</v>
      </c>
      <c r="Q493" s="3">
        <v>46023</v>
      </c>
      <c r="R493" s="6">
        <f t="shared" si="19"/>
        <v>0</v>
      </c>
    </row>
    <row r="494" spans="1:18" x14ac:dyDescent="0.25">
      <c r="A494" s="2" t="s">
        <v>578</v>
      </c>
      <c r="B494" s="2" t="s">
        <v>1490</v>
      </c>
      <c r="C494" s="2" t="s">
        <v>1491</v>
      </c>
      <c r="D494" s="2" t="s">
        <v>1492</v>
      </c>
      <c r="E494" s="3">
        <v>45814</v>
      </c>
      <c r="F494" s="3">
        <v>46179</v>
      </c>
      <c r="G494" s="4">
        <v>0</v>
      </c>
      <c r="H494" s="10">
        <v>0.115</v>
      </c>
      <c r="I494" s="10">
        <v>0.114</v>
      </c>
      <c r="J494" s="5">
        <v>242732</v>
      </c>
      <c r="K494" s="5">
        <v>231706</v>
      </c>
      <c r="L494" s="5">
        <v>11026</v>
      </c>
      <c r="M494" s="4">
        <v>0.95</v>
      </c>
      <c r="N494" s="2">
        <v>15</v>
      </c>
      <c r="O494" s="5">
        <v>0</v>
      </c>
      <c r="P494" s="5">
        <v>1955</v>
      </c>
      <c r="Q494" s="3">
        <v>46023</v>
      </c>
      <c r="R494" s="6">
        <f t="shared" si="19"/>
        <v>0</v>
      </c>
    </row>
    <row r="495" spans="1:18" x14ac:dyDescent="0.25">
      <c r="A495" s="2" t="s">
        <v>578</v>
      </c>
      <c r="B495" s="2" t="s">
        <v>1493</v>
      </c>
      <c r="C495" s="2" t="s">
        <v>1494</v>
      </c>
      <c r="D495" s="2" t="s">
        <v>1495</v>
      </c>
      <c r="E495" s="3">
        <v>45814</v>
      </c>
      <c r="F495" s="3">
        <v>46179</v>
      </c>
      <c r="G495" s="4">
        <v>0</v>
      </c>
      <c r="H495" s="10">
        <v>0.115</v>
      </c>
      <c r="I495" s="10">
        <v>0.114</v>
      </c>
      <c r="J495" s="5">
        <v>242732</v>
      </c>
      <c r="K495" s="5">
        <v>41052</v>
      </c>
      <c r="L495" s="5">
        <v>201680</v>
      </c>
      <c r="M495" s="4">
        <v>0.17</v>
      </c>
      <c r="N495" s="2">
        <v>4</v>
      </c>
      <c r="O495" s="5">
        <v>0</v>
      </c>
      <c r="P495" s="5">
        <v>393</v>
      </c>
      <c r="Q495" s="3">
        <v>46023</v>
      </c>
      <c r="R495" s="6">
        <f t="shared" si="19"/>
        <v>0</v>
      </c>
    </row>
    <row r="496" spans="1:18" x14ac:dyDescent="0.25">
      <c r="A496" s="2" t="s">
        <v>578</v>
      </c>
      <c r="B496" s="2" t="s">
        <v>1496</v>
      </c>
      <c r="C496" s="2" t="s">
        <v>1497</v>
      </c>
      <c r="D496" s="2" t="s">
        <v>1498</v>
      </c>
      <c r="E496" s="3">
        <v>45814</v>
      </c>
      <c r="F496" s="3">
        <v>46179</v>
      </c>
      <c r="G496" s="4">
        <v>0</v>
      </c>
      <c r="H496" s="10">
        <v>0.115</v>
      </c>
      <c r="I496" s="10">
        <v>0.114</v>
      </c>
      <c r="J496" s="5">
        <v>242732</v>
      </c>
      <c r="K496" s="5">
        <v>41052</v>
      </c>
      <c r="L496" s="5">
        <v>201680</v>
      </c>
      <c r="M496" s="4">
        <v>0.17</v>
      </c>
      <c r="N496" s="2">
        <v>4</v>
      </c>
      <c r="O496" s="5">
        <v>0</v>
      </c>
      <c r="P496" s="5">
        <v>393</v>
      </c>
      <c r="Q496" s="3">
        <v>46023</v>
      </c>
      <c r="R496" s="6">
        <f t="shared" si="19"/>
        <v>0</v>
      </c>
    </row>
    <row r="497" spans="1:18" x14ac:dyDescent="0.25">
      <c r="A497" s="2" t="s">
        <v>578</v>
      </c>
      <c r="B497" s="2" t="s">
        <v>1499</v>
      </c>
      <c r="C497" s="2" t="s">
        <v>1500</v>
      </c>
      <c r="D497" s="2" t="s">
        <v>1501</v>
      </c>
      <c r="E497" s="3">
        <v>45817</v>
      </c>
      <c r="F497" s="3">
        <v>46182</v>
      </c>
      <c r="G497" s="4">
        <v>0</v>
      </c>
      <c r="H497" s="10">
        <v>0.105</v>
      </c>
      <c r="I497" s="10">
        <v>0.104</v>
      </c>
      <c r="J497" s="5">
        <v>472500</v>
      </c>
      <c r="K497" s="5">
        <v>472500</v>
      </c>
      <c r="L497" s="5">
        <v>0</v>
      </c>
      <c r="M497" s="4">
        <v>1</v>
      </c>
      <c r="N497" s="2">
        <v>1</v>
      </c>
      <c r="O497" s="5">
        <v>0</v>
      </c>
      <c r="P497" s="5">
        <v>4134</v>
      </c>
      <c r="Q497" s="3">
        <v>46023</v>
      </c>
      <c r="R497" s="6">
        <f t="shared" si="19"/>
        <v>0</v>
      </c>
    </row>
    <row r="498" spans="1:18" x14ac:dyDescent="0.25">
      <c r="A498" s="2" t="s">
        <v>578</v>
      </c>
      <c r="B498" s="2" t="s">
        <v>1502</v>
      </c>
      <c r="C498" s="2" t="s">
        <v>1503</v>
      </c>
      <c r="D498" s="2" t="s">
        <v>1504</v>
      </c>
      <c r="E498" s="3">
        <v>45818</v>
      </c>
      <c r="F498" s="3">
        <v>46183</v>
      </c>
      <c r="G498" s="4">
        <v>0</v>
      </c>
      <c r="H498" s="10">
        <v>0.10249999999999999</v>
      </c>
      <c r="I498" s="10">
        <v>0.1012</v>
      </c>
      <c r="J498" s="5">
        <v>632570</v>
      </c>
      <c r="K498" s="5">
        <v>632570</v>
      </c>
      <c r="L498" s="5">
        <v>0</v>
      </c>
      <c r="M498" s="4">
        <v>1</v>
      </c>
      <c r="N498" s="2">
        <v>1</v>
      </c>
      <c r="O498" s="5">
        <v>0</v>
      </c>
      <c r="P498" s="5">
        <v>5403</v>
      </c>
      <c r="Q498" s="3">
        <v>46054</v>
      </c>
      <c r="R498" s="6">
        <f t="shared" si="19"/>
        <v>0</v>
      </c>
    </row>
    <row r="499" spans="1:18" x14ac:dyDescent="0.25">
      <c r="A499" s="2" t="s">
        <v>578</v>
      </c>
      <c r="B499" s="2" t="s">
        <v>1505</v>
      </c>
      <c r="C499" s="2" t="s">
        <v>1506</v>
      </c>
      <c r="D499" s="2" t="s">
        <v>1507</v>
      </c>
      <c r="E499" s="3">
        <v>45820</v>
      </c>
      <c r="F499" s="3">
        <v>46185</v>
      </c>
      <c r="G499" s="4">
        <v>0</v>
      </c>
      <c r="H499" s="10">
        <v>0.105</v>
      </c>
      <c r="I499" s="10">
        <v>0.1021</v>
      </c>
      <c r="J499" s="5">
        <v>680000</v>
      </c>
      <c r="K499" s="5">
        <v>604950</v>
      </c>
      <c r="L499" s="5">
        <v>75050</v>
      </c>
      <c r="M499" s="4">
        <v>0.89</v>
      </c>
      <c r="N499" s="2">
        <v>2</v>
      </c>
      <c r="O499" s="5">
        <v>5282</v>
      </c>
      <c r="P499" s="5">
        <v>5282</v>
      </c>
      <c r="Q499" s="3">
        <v>45992</v>
      </c>
      <c r="R499" s="6">
        <f t="shared" si="19"/>
        <v>0</v>
      </c>
    </row>
    <row r="500" spans="1:18" x14ac:dyDescent="0.25">
      <c r="A500" s="2" t="s">
        <v>578</v>
      </c>
      <c r="B500" s="2" t="s">
        <v>1508</v>
      </c>
      <c r="C500" s="2" t="s">
        <v>1509</v>
      </c>
      <c r="D500" s="2" t="s">
        <v>1510</v>
      </c>
      <c r="E500" s="3">
        <v>45821</v>
      </c>
      <c r="F500" s="3">
        <v>46186</v>
      </c>
      <c r="G500" s="4">
        <v>0</v>
      </c>
      <c r="H500" s="10">
        <v>0.11</v>
      </c>
      <c r="I500" s="10">
        <v>0.1031</v>
      </c>
      <c r="J500" s="5">
        <v>642850</v>
      </c>
      <c r="K500" s="5">
        <v>642850</v>
      </c>
      <c r="L500" s="5">
        <v>0</v>
      </c>
      <c r="M500" s="4">
        <v>1</v>
      </c>
      <c r="N500" s="2">
        <v>3</v>
      </c>
      <c r="O500" s="5">
        <v>0</v>
      </c>
      <c r="P500" s="5">
        <v>5893</v>
      </c>
      <c r="Q500" s="3">
        <v>46023</v>
      </c>
      <c r="R500" s="6">
        <f t="shared" si="19"/>
        <v>0</v>
      </c>
    </row>
    <row r="501" spans="1:18" x14ac:dyDescent="0.25">
      <c r="A501" s="2" t="s">
        <v>578</v>
      </c>
      <c r="B501" s="2" t="s">
        <v>1511</v>
      </c>
      <c r="C501" s="2" t="s">
        <v>1512</v>
      </c>
      <c r="D501" s="2" t="s">
        <v>1513</v>
      </c>
      <c r="E501" s="3">
        <v>45821</v>
      </c>
      <c r="F501" s="3">
        <v>46186</v>
      </c>
      <c r="G501" s="4">
        <v>0</v>
      </c>
      <c r="H501" s="10">
        <v>0.1075</v>
      </c>
      <c r="I501" s="10">
        <v>0.1062</v>
      </c>
      <c r="J501" s="5">
        <v>541100</v>
      </c>
      <c r="K501" s="5">
        <v>517500</v>
      </c>
      <c r="L501" s="5">
        <v>23600</v>
      </c>
      <c r="M501" s="4">
        <v>0.96</v>
      </c>
      <c r="N501" s="2">
        <v>1</v>
      </c>
      <c r="O501" s="5">
        <v>0</v>
      </c>
      <c r="P501" s="5">
        <v>4636</v>
      </c>
      <c r="Q501" s="3">
        <v>46023</v>
      </c>
      <c r="R501" s="6">
        <f t="shared" si="19"/>
        <v>0</v>
      </c>
    </row>
    <row r="502" spans="1:18" x14ac:dyDescent="0.25">
      <c r="A502" s="2" t="s">
        <v>578</v>
      </c>
      <c r="B502" s="2" t="s">
        <v>1514</v>
      </c>
      <c r="C502" s="2" t="s">
        <v>1515</v>
      </c>
      <c r="D502" s="2" t="s">
        <v>1516</v>
      </c>
      <c r="E502" s="3">
        <v>45825</v>
      </c>
      <c r="F502" s="3">
        <v>46190</v>
      </c>
      <c r="G502" s="4">
        <v>0</v>
      </c>
      <c r="H502" s="10">
        <v>0.1075</v>
      </c>
      <c r="I502" s="10">
        <v>0.1026</v>
      </c>
      <c r="J502" s="5">
        <v>127790</v>
      </c>
      <c r="K502" s="5">
        <v>111840</v>
      </c>
      <c r="L502" s="5">
        <v>15950</v>
      </c>
      <c r="M502" s="4">
        <v>0.88</v>
      </c>
      <c r="N502" s="2">
        <v>2</v>
      </c>
      <c r="O502" s="5">
        <v>0</v>
      </c>
      <c r="P502" s="5">
        <v>1002</v>
      </c>
      <c r="Q502" s="3">
        <v>46023</v>
      </c>
      <c r="R502" s="6">
        <f t="shared" si="19"/>
        <v>0</v>
      </c>
    </row>
    <row r="503" spans="1:18" x14ac:dyDescent="0.25">
      <c r="A503" s="2" t="s">
        <v>578</v>
      </c>
      <c r="B503" s="2" t="s">
        <v>1517</v>
      </c>
      <c r="C503" s="2" t="s">
        <v>1518</v>
      </c>
      <c r="D503" s="2" t="s">
        <v>1519</v>
      </c>
      <c r="E503" s="3">
        <v>45825</v>
      </c>
      <c r="F503" s="3">
        <v>46190</v>
      </c>
      <c r="G503" s="4">
        <v>0</v>
      </c>
      <c r="H503" s="10">
        <v>0.1075</v>
      </c>
      <c r="I503" s="10">
        <v>0.1065</v>
      </c>
      <c r="J503" s="5">
        <v>518000</v>
      </c>
      <c r="K503" s="5">
        <v>469300</v>
      </c>
      <c r="L503" s="5">
        <v>48700</v>
      </c>
      <c r="M503" s="4">
        <v>0.91</v>
      </c>
      <c r="N503" s="2">
        <v>4</v>
      </c>
      <c r="O503" s="5">
        <v>0</v>
      </c>
      <c r="P503" s="5">
        <v>4089</v>
      </c>
      <c r="Q503" s="3">
        <v>46023</v>
      </c>
      <c r="R503" s="6">
        <f t="shared" ref="R503:R548" si="20">G503*K503</f>
        <v>0</v>
      </c>
    </row>
    <row r="504" spans="1:18" x14ac:dyDescent="0.25">
      <c r="A504" s="2" t="s">
        <v>578</v>
      </c>
      <c r="B504" s="2" t="s">
        <v>1520</v>
      </c>
      <c r="C504" s="2" t="s">
        <v>1521</v>
      </c>
      <c r="D504" s="2" t="s">
        <v>1522</v>
      </c>
      <c r="E504" s="3">
        <v>45825</v>
      </c>
      <c r="F504" s="3">
        <v>46190</v>
      </c>
      <c r="G504" s="4">
        <v>0</v>
      </c>
      <c r="H504" s="10">
        <v>0.1075</v>
      </c>
      <c r="I504" s="10">
        <v>0.1026</v>
      </c>
      <c r="J504" s="5">
        <v>470700</v>
      </c>
      <c r="K504" s="5">
        <v>405000</v>
      </c>
      <c r="L504" s="5">
        <v>65700</v>
      </c>
      <c r="M504" s="4">
        <v>0.86</v>
      </c>
      <c r="N504" s="2">
        <v>1</v>
      </c>
      <c r="O504" s="5">
        <v>0</v>
      </c>
      <c r="P504" s="5">
        <v>3628</v>
      </c>
      <c r="Q504" s="3">
        <v>46023</v>
      </c>
      <c r="R504" s="6">
        <f t="shared" si="20"/>
        <v>0</v>
      </c>
    </row>
    <row r="505" spans="1:18" x14ac:dyDescent="0.25">
      <c r="A505" s="2" t="s">
        <v>578</v>
      </c>
      <c r="B505" s="2" t="s">
        <v>1523</v>
      </c>
      <c r="C505" s="2" t="s">
        <v>1524</v>
      </c>
      <c r="D505" s="2" t="s">
        <v>1525</v>
      </c>
      <c r="E505" s="3">
        <v>45825</v>
      </c>
      <c r="F505" s="3">
        <v>46190</v>
      </c>
      <c r="G505" s="4">
        <v>0</v>
      </c>
      <c r="H505" s="10">
        <v>0.1075</v>
      </c>
      <c r="I505" s="10">
        <v>0.1026</v>
      </c>
      <c r="J505" s="5">
        <v>137200</v>
      </c>
      <c r="K505" s="5">
        <v>128950</v>
      </c>
      <c r="L505" s="5">
        <v>8250</v>
      </c>
      <c r="M505" s="4">
        <v>0.94</v>
      </c>
      <c r="N505" s="2">
        <v>4</v>
      </c>
      <c r="O505" s="5">
        <v>0</v>
      </c>
      <c r="P505" s="5">
        <v>1143</v>
      </c>
      <c r="Q505" s="3">
        <v>46023</v>
      </c>
      <c r="R505" s="6">
        <f t="shared" si="20"/>
        <v>0</v>
      </c>
    </row>
    <row r="506" spans="1:18" x14ac:dyDescent="0.25">
      <c r="A506" s="2" t="s">
        <v>578</v>
      </c>
      <c r="B506" s="2" t="s">
        <v>1526</v>
      </c>
      <c r="C506" s="2" t="s">
        <v>1527</v>
      </c>
      <c r="D506" s="2" t="s">
        <v>1528</v>
      </c>
      <c r="E506" s="3">
        <v>45825</v>
      </c>
      <c r="F506" s="3">
        <v>46190</v>
      </c>
      <c r="G506" s="4">
        <v>0</v>
      </c>
      <c r="H506" s="10">
        <v>0.105</v>
      </c>
      <c r="I506" s="10">
        <v>0.104</v>
      </c>
      <c r="J506" s="5">
        <v>889000</v>
      </c>
      <c r="K506" s="5">
        <v>799112</v>
      </c>
      <c r="L506" s="5">
        <v>89888</v>
      </c>
      <c r="M506" s="4">
        <v>0.9</v>
      </c>
      <c r="N506" s="2">
        <v>2</v>
      </c>
      <c r="O506" s="5">
        <v>0</v>
      </c>
      <c r="P506" s="5">
        <v>6992</v>
      </c>
      <c r="Q506" s="3">
        <v>46023</v>
      </c>
      <c r="R506" s="6">
        <f t="shared" si="20"/>
        <v>0</v>
      </c>
    </row>
    <row r="507" spans="1:18" x14ac:dyDescent="0.25">
      <c r="A507" s="2" t="s">
        <v>578</v>
      </c>
      <c r="B507" s="2" t="s">
        <v>1529</v>
      </c>
      <c r="C507" s="2" t="s">
        <v>1530</v>
      </c>
      <c r="D507" s="2" t="s">
        <v>1531</v>
      </c>
      <c r="E507" s="3">
        <v>45826</v>
      </c>
      <c r="F507" s="3">
        <v>46191</v>
      </c>
      <c r="G507" s="4">
        <v>0</v>
      </c>
      <c r="H507" s="10">
        <v>0.1075</v>
      </c>
      <c r="I507" s="10">
        <v>0.1062</v>
      </c>
      <c r="J507" s="5">
        <v>143208</v>
      </c>
      <c r="K507" s="5">
        <v>114175</v>
      </c>
      <c r="L507" s="5">
        <v>29033</v>
      </c>
      <c r="M507" s="4">
        <v>0.8</v>
      </c>
      <c r="N507" s="2">
        <v>3</v>
      </c>
      <c r="O507" s="5">
        <v>0</v>
      </c>
      <c r="P507" s="5">
        <v>793</v>
      </c>
      <c r="Q507" s="3">
        <v>46023</v>
      </c>
      <c r="R507" s="6">
        <f t="shared" si="20"/>
        <v>0</v>
      </c>
    </row>
    <row r="508" spans="1:18" x14ac:dyDescent="0.25">
      <c r="A508" s="2" t="s">
        <v>578</v>
      </c>
      <c r="B508" s="2" t="s">
        <v>1532</v>
      </c>
      <c r="C508" s="2" t="s">
        <v>1533</v>
      </c>
      <c r="D508" s="2" t="s">
        <v>1534</v>
      </c>
      <c r="E508" s="3">
        <v>45826</v>
      </c>
      <c r="F508" s="3">
        <v>46191</v>
      </c>
      <c r="G508" s="4">
        <v>0</v>
      </c>
      <c r="H508" s="10">
        <v>0.1075</v>
      </c>
      <c r="I508" s="10">
        <v>0.1026</v>
      </c>
      <c r="J508" s="5">
        <v>257750</v>
      </c>
      <c r="K508" s="5">
        <v>193500</v>
      </c>
      <c r="L508" s="5">
        <v>64250</v>
      </c>
      <c r="M508" s="4">
        <v>0.75</v>
      </c>
      <c r="N508" s="2">
        <v>1</v>
      </c>
      <c r="O508" s="5">
        <v>0</v>
      </c>
      <c r="P508" s="5">
        <v>1733</v>
      </c>
      <c r="Q508" s="3">
        <v>46023</v>
      </c>
      <c r="R508" s="6">
        <f t="shared" si="20"/>
        <v>0</v>
      </c>
    </row>
    <row r="509" spans="1:18" x14ac:dyDescent="0.25">
      <c r="A509" s="2" t="s">
        <v>578</v>
      </c>
      <c r="B509" s="2" t="s">
        <v>1535</v>
      </c>
      <c r="C509" s="2" t="s">
        <v>1536</v>
      </c>
      <c r="D509" s="2" t="s">
        <v>1537</v>
      </c>
      <c r="E509" s="3">
        <v>45826</v>
      </c>
      <c r="F509" s="3">
        <v>46191</v>
      </c>
      <c r="G509" s="4">
        <v>0</v>
      </c>
      <c r="H509" s="10">
        <v>0.115</v>
      </c>
      <c r="I509" s="10">
        <v>0.114</v>
      </c>
      <c r="J509" s="5">
        <v>264991</v>
      </c>
      <c r="K509" s="5">
        <v>245377</v>
      </c>
      <c r="L509" s="5">
        <v>19614</v>
      </c>
      <c r="M509" s="4">
        <v>0.93</v>
      </c>
      <c r="N509" s="2">
        <v>5</v>
      </c>
      <c r="O509" s="5">
        <v>0</v>
      </c>
      <c r="P509" s="5">
        <v>1690</v>
      </c>
      <c r="Q509" s="3">
        <v>46023</v>
      </c>
      <c r="R509" s="6">
        <f t="shared" si="20"/>
        <v>0</v>
      </c>
    </row>
    <row r="510" spans="1:18" x14ac:dyDescent="0.25">
      <c r="A510" s="2" t="s">
        <v>578</v>
      </c>
      <c r="B510" s="2" t="s">
        <v>1538</v>
      </c>
      <c r="C510" s="2" t="s">
        <v>1539</v>
      </c>
      <c r="D510" s="2" t="s">
        <v>1540</v>
      </c>
      <c r="E510" s="3">
        <v>45826</v>
      </c>
      <c r="F510" s="3">
        <v>46191</v>
      </c>
      <c r="G510" s="4">
        <v>0</v>
      </c>
      <c r="H510" s="10">
        <v>0.1075</v>
      </c>
      <c r="I510" s="10">
        <v>0.1026</v>
      </c>
      <c r="J510" s="5">
        <v>191145</v>
      </c>
      <c r="K510" s="5">
        <v>174145</v>
      </c>
      <c r="L510" s="5">
        <v>17000</v>
      </c>
      <c r="M510" s="4">
        <v>0.91</v>
      </c>
      <c r="N510" s="2">
        <v>2</v>
      </c>
      <c r="O510" s="5">
        <v>0</v>
      </c>
      <c r="P510" s="5">
        <v>1560</v>
      </c>
      <c r="Q510" s="3">
        <v>46023</v>
      </c>
      <c r="R510" s="6">
        <f t="shared" si="20"/>
        <v>0</v>
      </c>
    </row>
    <row r="511" spans="1:18" x14ac:dyDescent="0.25">
      <c r="A511" s="2" t="s">
        <v>578</v>
      </c>
      <c r="B511" s="2" t="s">
        <v>1541</v>
      </c>
      <c r="C511" s="2" t="s">
        <v>1542</v>
      </c>
      <c r="D511" s="2" t="s">
        <v>1543</v>
      </c>
      <c r="E511" s="3">
        <v>45826</v>
      </c>
      <c r="F511" s="3">
        <v>46191</v>
      </c>
      <c r="G511" s="4">
        <v>0</v>
      </c>
      <c r="H511" s="10">
        <v>0.105</v>
      </c>
      <c r="I511" s="10">
        <v>0.1021</v>
      </c>
      <c r="J511" s="5">
        <v>442350</v>
      </c>
      <c r="K511" s="5">
        <v>442350</v>
      </c>
      <c r="L511" s="5">
        <v>0</v>
      </c>
      <c r="M511" s="4">
        <v>1</v>
      </c>
      <c r="N511" s="2">
        <v>6</v>
      </c>
      <c r="O511" s="5">
        <v>363</v>
      </c>
      <c r="P511" s="5">
        <v>3871</v>
      </c>
      <c r="Q511" s="3">
        <v>46023</v>
      </c>
      <c r="R511" s="6">
        <f t="shared" si="20"/>
        <v>0</v>
      </c>
    </row>
    <row r="512" spans="1:18" x14ac:dyDescent="0.25">
      <c r="A512" s="2" t="s">
        <v>578</v>
      </c>
      <c r="B512" s="2" t="s">
        <v>1544</v>
      </c>
      <c r="C512" s="2" t="s">
        <v>1545</v>
      </c>
      <c r="D512" s="2" t="s">
        <v>1546</v>
      </c>
      <c r="E512" s="3">
        <v>45828</v>
      </c>
      <c r="F512" s="3">
        <v>46193</v>
      </c>
      <c r="G512" s="4">
        <v>0</v>
      </c>
      <c r="H512" s="10">
        <v>9.7500000000000003E-2</v>
      </c>
      <c r="I512" s="10">
        <v>9.7500000000000003E-2</v>
      </c>
      <c r="J512" s="5">
        <v>408450</v>
      </c>
      <c r="K512" s="5">
        <v>316575</v>
      </c>
      <c r="L512" s="5">
        <v>91875</v>
      </c>
      <c r="M512" s="4">
        <v>0.78</v>
      </c>
      <c r="N512" s="2">
        <v>1</v>
      </c>
      <c r="O512" s="5">
        <v>0</v>
      </c>
      <c r="P512" s="5">
        <v>2572</v>
      </c>
      <c r="Q512" s="3">
        <v>46023</v>
      </c>
      <c r="R512" s="6">
        <f t="shared" si="20"/>
        <v>0</v>
      </c>
    </row>
    <row r="513" spans="1:18" x14ac:dyDescent="0.25">
      <c r="A513" s="2" t="s">
        <v>578</v>
      </c>
      <c r="B513" s="2" t="s">
        <v>1547</v>
      </c>
      <c r="C513" s="2" t="s">
        <v>1548</v>
      </c>
      <c r="D513" s="2" t="s">
        <v>1549</v>
      </c>
      <c r="E513" s="3">
        <v>45828</v>
      </c>
      <c r="F513" s="3">
        <v>46376</v>
      </c>
      <c r="G513" s="4">
        <v>0</v>
      </c>
      <c r="H513" s="10">
        <v>9.9900000000000003E-2</v>
      </c>
      <c r="I513" s="10">
        <v>9.9199999999999997E-2</v>
      </c>
      <c r="J513" s="5">
        <v>368100</v>
      </c>
      <c r="K513" s="5">
        <v>368100</v>
      </c>
      <c r="L513" s="5">
        <v>0</v>
      </c>
      <c r="M513" s="4">
        <v>1</v>
      </c>
      <c r="N513" s="2">
        <v>1</v>
      </c>
      <c r="O513" s="5">
        <v>0</v>
      </c>
      <c r="P513" s="5">
        <v>3064</v>
      </c>
      <c r="Q513" s="3">
        <v>46023</v>
      </c>
      <c r="R513" s="6">
        <f t="shared" si="20"/>
        <v>0</v>
      </c>
    </row>
    <row r="514" spans="1:18" x14ac:dyDescent="0.25">
      <c r="A514" s="2" t="s">
        <v>578</v>
      </c>
      <c r="B514" s="2" t="s">
        <v>1550</v>
      </c>
      <c r="C514" s="2" t="s">
        <v>1551</v>
      </c>
      <c r="D514" s="2" t="s">
        <v>1552</v>
      </c>
      <c r="E514" s="3">
        <v>45831</v>
      </c>
      <c r="F514" s="3">
        <v>46196</v>
      </c>
      <c r="G514" s="4">
        <v>0</v>
      </c>
      <c r="H514" s="10">
        <v>0.105</v>
      </c>
      <c r="I514" s="10">
        <v>0.1021</v>
      </c>
      <c r="J514" s="5">
        <v>866400</v>
      </c>
      <c r="K514" s="5">
        <v>866400</v>
      </c>
      <c r="L514" s="5">
        <v>0</v>
      </c>
      <c r="M514" s="4">
        <v>1</v>
      </c>
      <c r="N514" s="2">
        <v>1</v>
      </c>
      <c r="O514" s="5">
        <v>0</v>
      </c>
      <c r="P514" s="5">
        <v>7581</v>
      </c>
      <c r="Q514" s="3">
        <v>46023</v>
      </c>
      <c r="R514" s="6">
        <f t="shared" si="20"/>
        <v>0</v>
      </c>
    </row>
    <row r="515" spans="1:18" x14ac:dyDescent="0.25">
      <c r="A515" s="2" t="s">
        <v>578</v>
      </c>
      <c r="B515" s="2" t="s">
        <v>1553</v>
      </c>
      <c r="C515" s="2" t="s">
        <v>1554</v>
      </c>
      <c r="D515" s="2" t="s">
        <v>1555</v>
      </c>
      <c r="E515" s="3">
        <v>45831</v>
      </c>
      <c r="F515" s="3">
        <v>46196</v>
      </c>
      <c r="G515" s="4">
        <v>0</v>
      </c>
      <c r="H515" s="10">
        <v>0.105</v>
      </c>
      <c r="I515" s="10">
        <v>0.1021</v>
      </c>
      <c r="J515" s="5">
        <v>815500</v>
      </c>
      <c r="K515" s="5">
        <v>800500</v>
      </c>
      <c r="L515" s="5">
        <v>15000</v>
      </c>
      <c r="M515" s="4">
        <v>0.98</v>
      </c>
      <c r="N515" s="2">
        <v>4</v>
      </c>
      <c r="O515" s="5">
        <v>0</v>
      </c>
      <c r="P515" s="5">
        <v>7004</v>
      </c>
      <c r="Q515" s="3">
        <v>46023</v>
      </c>
      <c r="R515" s="6">
        <f t="shared" si="20"/>
        <v>0</v>
      </c>
    </row>
    <row r="516" spans="1:18" x14ac:dyDescent="0.25">
      <c r="A516" s="2" t="s">
        <v>578</v>
      </c>
      <c r="B516" s="2" t="s">
        <v>1556</v>
      </c>
      <c r="C516" s="2" t="s">
        <v>1557</v>
      </c>
      <c r="D516" s="2" t="s">
        <v>1558</v>
      </c>
      <c r="E516" s="3">
        <v>45831</v>
      </c>
      <c r="F516" s="3">
        <v>46196</v>
      </c>
      <c r="G516" s="4">
        <v>0</v>
      </c>
      <c r="H516" s="10">
        <v>0.105</v>
      </c>
      <c r="I516" s="10">
        <v>0.1021</v>
      </c>
      <c r="J516" s="5">
        <v>387000</v>
      </c>
      <c r="K516" s="5">
        <v>387000</v>
      </c>
      <c r="L516" s="5">
        <v>0</v>
      </c>
      <c r="M516" s="4">
        <v>1</v>
      </c>
      <c r="N516" s="2">
        <v>1</v>
      </c>
      <c r="O516" s="5">
        <v>0</v>
      </c>
      <c r="P516" s="5">
        <v>3386</v>
      </c>
      <c r="Q516" s="3">
        <v>46023</v>
      </c>
      <c r="R516" s="6">
        <f t="shared" si="20"/>
        <v>0</v>
      </c>
    </row>
    <row r="517" spans="1:18" x14ac:dyDescent="0.25">
      <c r="A517" s="2" t="s">
        <v>578</v>
      </c>
      <c r="B517" s="2" t="s">
        <v>1559</v>
      </c>
      <c r="C517" s="2" t="s">
        <v>1560</v>
      </c>
      <c r="D517" s="2" t="s">
        <v>1561</v>
      </c>
      <c r="E517" s="3">
        <v>45832</v>
      </c>
      <c r="F517" s="3">
        <v>46197</v>
      </c>
      <c r="G517" s="4">
        <v>0</v>
      </c>
      <c r="H517" s="10">
        <v>0.115</v>
      </c>
      <c r="I517" s="10">
        <v>0.114</v>
      </c>
      <c r="J517" s="5">
        <v>623829</v>
      </c>
      <c r="K517" s="5">
        <v>384143</v>
      </c>
      <c r="L517" s="5">
        <v>239686</v>
      </c>
      <c r="M517" s="4">
        <v>0.62</v>
      </c>
      <c r="N517" s="2">
        <v>4</v>
      </c>
      <c r="O517" s="5">
        <v>0</v>
      </c>
      <c r="P517" s="5">
        <v>2956</v>
      </c>
      <c r="Q517" s="3">
        <v>46023</v>
      </c>
      <c r="R517" s="6">
        <f t="shared" si="20"/>
        <v>0</v>
      </c>
    </row>
    <row r="518" spans="1:18" x14ac:dyDescent="0.25">
      <c r="A518" s="2" t="s">
        <v>578</v>
      </c>
      <c r="B518" s="2" t="s">
        <v>1562</v>
      </c>
      <c r="C518" s="2" t="s">
        <v>1563</v>
      </c>
      <c r="D518" s="2" t="s">
        <v>1564</v>
      </c>
      <c r="E518" s="3">
        <v>45832</v>
      </c>
      <c r="F518" s="3">
        <v>46197</v>
      </c>
      <c r="G518" s="4">
        <v>0</v>
      </c>
      <c r="H518" s="10">
        <v>0.11</v>
      </c>
      <c r="I518" s="10">
        <v>0.1031</v>
      </c>
      <c r="J518" s="5">
        <v>125850</v>
      </c>
      <c r="K518" s="5">
        <v>125850</v>
      </c>
      <c r="L518" s="5">
        <v>0</v>
      </c>
      <c r="M518" s="4">
        <v>1</v>
      </c>
      <c r="N518" s="2">
        <v>3</v>
      </c>
      <c r="O518" s="5">
        <v>0</v>
      </c>
      <c r="P518" s="5">
        <v>1154</v>
      </c>
      <c r="Q518" s="3">
        <v>46023</v>
      </c>
      <c r="R518" s="6">
        <f t="shared" si="20"/>
        <v>0</v>
      </c>
    </row>
    <row r="519" spans="1:18" x14ac:dyDescent="0.25">
      <c r="A519" s="2" t="s">
        <v>578</v>
      </c>
      <c r="B519" s="2" t="s">
        <v>1565</v>
      </c>
      <c r="C519" s="2" t="s">
        <v>1566</v>
      </c>
      <c r="D519" s="2" t="s">
        <v>1567</v>
      </c>
      <c r="E519" s="3">
        <v>45833</v>
      </c>
      <c r="F519" s="3">
        <v>46198</v>
      </c>
      <c r="G519" s="4">
        <v>0</v>
      </c>
      <c r="H519" s="10">
        <v>0.10249999999999999</v>
      </c>
      <c r="I519" s="10">
        <v>0.1012</v>
      </c>
      <c r="J519" s="5">
        <v>500000</v>
      </c>
      <c r="K519" s="5">
        <v>500000</v>
      </c>
      <c r="L519" s="5">
        <v>0</v>
      </c>
      <c r="M519" s="4">
        <v>1</v>
      </c>
      <c r="N519" s="2">
        <v>1</v>
      </c>
      <c r="O519" s="5">
        <v>0</v>
      </c>
      <c r="P519" s="5">
        <v>4271</v>
      </c>
      <c r="Q519" s="3">
        <v>46023</v>
      </c>
      <c r="R519" s="6">
        <f t="shared" si="20"/>
        <v>0</v>
      </c>
    </row>
    <row r="520" spans="1:18" x14ac:dyDescent="0.25">
      <c r="A520" s="2" t="s">
        <v>578</v>
      </c>
      <c r="B520" s="2" t="s">
        <v>1568</v>
      </c>
      <c r="C520" s="2" t="s">
        <v>1569</v>
      </c>
      <c r="D520" s="2" t="s">
        <v>1570</v>
      </c>
      <c r="E520" s="3">
        <v>45833</v>
      </c>
      <c r="F520" s="3">
        <v>46198</v>
      </c>
      <c r="G520" s="4">
        <v>0</v>
      </c>
      <c r="H520" s="10">
        <v>0.1075</v>
      </c>
      <c r="I520" s="10">
        <v>0.1026</v>
      </c>
      <c r="J520" s="5">
        <v>335000</v>
      </c>
      <c r="K520" s="5">
        <v>241012</v>
      </c>
      <c r="L520" s="5">
        <v>93988</v>
      </c>
      <c r="M520" s="4">
        <v>0.72</v>
      </c>
      <c r="N520" s="2">
        <v>3</v>
      </c>
      <c r="O520" s="5">
        <v>0</v>
      </c>
      <c r="P520" s="5">
        <v>1816</v>
      </c>
      <c r="Q520" s="3">
        <v>46023</v>
      </c>
      <c r="R520" s="6">
        <f t="shared" si="20"/>
        <v>0</v>
      </c>
    </row>
    <row r="521" spans="1:18" x14ac:dyDescent="0.25">
      <c r="A521" s="2" t="s">
        <v>578</v>
      </c>
      <c r="B521" s="2" t="s">
        <v>1571</v>
      </c>
      <c r="C521" s="2" t="s">
        <v>1572</v>
      </c>
      <c r="D521" s="2" t="s">
        <v>1573</v>
      </c>
      <c r="E521" s="3">
        <v>45834</v>
      </c>
      <c r="F521" s="3">
        <v>46199</v>
      </c>
      <c r="G521" s="4">
        <v>0</v>
      </c>
      <c r="H521" s="10">
        <v>0.11</v>
      </c>
      <c r="I521" s="10">
        <v>0.105</v>
      </c>
      <c r="J521" s="5">
        <v>423000</v>
      </c>
      <c r="K521" s="5">
        <v>423000</v>
      </c>
      <c r="L521" s="5">
        <v>0</v>
      </c>
      <c r="M521" s="4">
        <v>1</v>
      </c>
      <c r="N521" s="2">
        <v>1</v>
      </c>
      <c r="O521" s="5">
        <v>0</v>
      </c>
      <c r="P521" s="5">
        <v>3360</v>
      </c>
      <c r="Q521" s="3">
        <v>46017</v>
      </c>
      <c r="R521" s="6">
        <f t="shared" si="20"/>
        <v>0</v>
      </c>
    </row>
    <row r="522" spans="1:18" x14ac:dyDescent="0.25">
      <c r="A522" s="2" t="s">
        <v>578</v>
      </c>
      <c r="B522" s="2" t="s">
        <v>1574</v>
      </c>
      <c r="C522" s="2" t="s">
        <v>1575</v>
      </c>
      <c r="D522" s="2" t="s">
        <v>1576</v>
      </c>
      <c r="E522" s="3">
        <v>45834</v>
      </c>
      <c r="F522" s="3">
        <v>46199</v>
      </c>
      <c r="G522" s="4">
        <v>0</v>
      </c>
      <c r="H522" s="10">
        <v>0.11749999999999999</v>
      </c>
      <c r="I522" s="10">
        <v>0.11550000000000001</v>
      </c>
      <c r="J522" s="5">
        <v>530240</v>
      </c>
      <c r="K522" s="5">
        <v>417324</v>
      </c>
      <c r="L522" s="5">
        <v>112916</v>
      </c>
      <c r="M522" s="4">
        <v>0.79</v>
      </c>
      <c r="N522" s="2">
        <v>5</v>
      </c>
      <c r="O522" s="5">
        <v>0</v>
      </c>
      <c r="P522" s="5">
        <v>2742</v>
      </c>
      <c r="Q522" s="3">
        <v>46023</v>
      </c>
      <c r="R522" s="6">
        <f t="shared" si="20"/>
        <v>0</v>
      </c>
    </row>
    <row r="523" spans="1:18" x14ac:dyDescent="0.25">
      <c r="A523" s="2" t="s">
        <v>578</v>
      </c>
      <c r="B523" s="2" t="s">
        <v>1577</v>
      </c>
      <c r="C523" s="2" t="s">
        <v>1578</v>
      </c>
      <c r="D523" s="2" t="s">
        <v>1579</v>
      </c>
      <c r="E523" s="3">
        <v>45834</v>
      </c>
      <c r="F523" s="3">
        <v>46199</v>
      </c>
      <c r="G523" s="4">
        <v>0</v>
      </c>
      <c r="H523" s="10">
        <v>9.5000000000000001E-2</v>
      </c>
      <c r="I523" s="10">
        <v>9.4700000000000006E-2</v>
      </c>
      <c r="J523" s="5">
        <v>439200</v>
      </c>
      <c r="K523" s="5">
        <v>439200</v>
      </c>
      <c r="L523" s="5">
        <v>0</v>
      </c>
      <c r="M523" s="4">
        <v>1</v>
      </c>
      <c r="N523" s="2">
        <v>1</v>
      </c>
      <c r="O523" s="5">
        <v>0</v>
      </c>
      <c r="P523" s="5">
        <v>3477</v>
      </c>
      <c r="Q523" s="3">
        <v>46023</v>
      </c>
      <c r="R523" s="6">
        <f t="shared" si="20"/>
        <v>0</v>
      </c>
    </row>
    <row r="524" spans="1:18" x14ac:dyDescent="0.25">
      <c r="A524" s="2" t="s">
        <v>578</v>
      </c>
      <c r="B524" s="2" t="s">
        <v>1580</v>
      </c>
      <c r="C524" s="2" t="s">
        <v>1581</v>
      </c>
      <c r="D524" s="2" t="s">
        <v>1582</v>
      </c>
      <c r="E524" s="3">
        <v>45835</v>
      </c>
      <c r="F524" s="3">
        <v>46200</v>
      </c>
      <c r="G524" s="4">
        <v>0</v>
      </c>
      <c r="H524" s="10">
        <v>0.1075</v>
      </c>
      <c r="I524" s="10">
        <v>0.1026</v>
      </c>
      <c r="J524" s="5">
        <v>233500</v>
      </c>
      <c r="K524" s="5">
        <v>229200</v>
      </c>
      <c r="L524" s="5">
        <v>4300</v>
      </c>
      <c r="M524" s="4">
        <v>0.98</v>
      </c>
      <c r="N524" s="2">
        <v>2</v>
      </c>
      <c r="O524" s="5">
        <v>0</v>
      </c>
      <c r="P524" s="5">
        <v>2000</v>
      </c>
      <c r="Q524" s="3">
        <v>46023</v>
      </c>
      <c r="R524" s="6">
        <f t="shared" si="20"/>
        <v>0</v>
      </c>
    </row>
    <row r="525" spans="1:18" x14ac:dyDescent="0.25">
      <c r="A525" s="2" t="s">
        <v>578</v>
      </c>
      <c r="B525" s="2" t="s">
        <v>1583</v>
      </c>
      <c r="C525" s="2" t="s">
        <v>1584</v>
      </c>
      <c r="D525" s="2" t="s">
        <v>1585</v>
      </c>
      <c r="E525" s="3">
        <v>45835</v>
      </c>
      <c r="F525" s="3">
        <v>46200</v>
      </c>
      <c r="G525" s="4">
        <v>0</v>
      </c>
      <c r="H525" s="10">
        <v>9.7500000000000003E-2</v>
      </c>
      <c r="I525" s="10">
        <v>9.7000000000000003E-2</v>
      </c>
      <c r="J525" s="5">
        <v>485919</v>
      </c>
      <c r="K525" s="5">
        <v>485919</v>
      </c>
      <c r="L525" s="5">
        <v>0</v>
      </c>
      <c r="M525" s="4">
        <v>1</v>
      </c>
      <c r="N525" s="2">
        <v>1</v>
      </c>
      <c r="O525" s="5">
        <v>0</v>
      </c>
      <c r="P525" s="5">
        <v>3422</v>
      </c>
      <c r="Q525" s="3">
        <v>46017</v>
      </c>
      <c r="R525" s="6">
        <f t="shared" si="20"/>
        <v>0</v>
      </c>
    </row>
    <row r="526" spans="1:18" x14ac:dyDescent="0.25">
      <c r="A526" s="2" t="s">
        <v>578</v>
      </c>
      <c r="B526" s="2" t="s">
        <v>1586</v>
      </c>
      <c r="C526" s="2" t="s">
        <v>1587</v>
      </c>
      <c r="D526" s="2" t="s">
        <v>1588</v>
      </c>
      <c r="E526" s="3">
        <v>45838</v>
      </c>
      <c r="F526" s="3">
        <v>46203</v>
      </c>
      <c r="G526" s="4">
        <v>0</v>
      </c>
      <c r="H526" s="10">
        <v>0.105</v>
      </c>
      <c r="I526" s="10">
        <v>0.1021</v>
      </c>
      <c r="J526" s="5">
        <v>487000</v>
      </c>
      <c r="K526" s="5">
        <v>487000</v>
      </c>
      <c r="L526" s="5">
        <v>0</v>
      </c>
      <c r="M526" s="4">
        <v>1</v>
      </c>
      <c r="N526" s="2">
        <v>2</v>
      </c>
      <c r="O526" s="5">
        <v>0</v>
      </c>
      <c r="P526" s="5">
        <v>4005</v>
      </c>
      <c r="Q526" s="3">
        <v>46023</v>
      </c>
      <c r="R526" s="6">
        <f t="shared" si="20"/>
        <v>0</v>
      </c>
    </row>
    <row r="527" spans="1:18" x14ac:dyDescent="0.25">
      <c r="A527" s="2" t="s">
        <v>578</v>
      </c>
      <c r="B527" s="2" t="s">
        <v>1589</v>
      </c>
      <c r="C527" s="2" t="s">
        <v>1590</v>
      </c>
      <c r="D527" s="2" t="s">
        <v>1591</v>
      </c>
      <c r="E527" s="3">
        <v>45838</v>
      </c>
      <c r="F527" s="3">
        <v>46203</v>
      </c>
      <c r="G527" s="4">
        <v>0</v>
      </c>
      <c r="H527" s="10">
        <v>0.1099</v>
      </c>
      <c r="I527" s="10">
        <v>0.1031</v>
      </c>
      <c r="J527" s="5">
        <v>188550</v>
      </c>
      <c r="K527" s="5">
        <v>188550</v>
      </c>
      <c r="L527" s="5">
        <v>0</v>
      </c>
      <c r="M527" s="4">
        <v>1</v>
      </c>
      <c r="N527" s="2">
        <v>2</v>
      </c>
      <c r="O527" s="5">
        <v>0</v>
      </c>
      <c r="P527" s="5">
        <v>1727</v>
      </c>
      <c r="Q527" s="3">
        <v>46023</v>
      </c>
      <c r="R527" s="6">
        <f t="shared" si="20"/>
        <v>0</v>
      </c>
    </row>
    <row r="528" spans="1:18" x14ac:dyDescent="0.25">
      <c r="A528" s="2" t="s">
        <v>578</v>
      </c>
      <c r="B528" s="2" t="s">
        <v>1592</v>
      </c>
      <c r="C528" s="2" t="s">
        <v>1593</v>
      </c>
      <c r="D528" s="2" t="s">
        <v>1594</v>
      </c>
      <c r="E528" s="3">
        <v>45838</v>
      </c>
      <c r="F528" s="3">
        <v>46386</v>
      </c>
      <c r="G528" s="4">
        <v>0</v>
      </c>
      <c r="H528" s="10">
        <v>0.11</v>
      </c>
      <c r="I528" s="10">
        <v>0.109</v>
      </c>
      <c r="J528" s="5">
        <v>2913430</v>
      </c>
      <c r="K528" s="5">
        <v>2835130</v>
      </c>
      <c r="L528" s="5">
        <v>78300</v>
      </c>
      <c r="M528" s="4">
        <v>0.97</v>
      </c>
      <c r="N528" s="2">
        <v>12</v>
      </c>
      <c r="O528" s="5">
        <v>0</v>
      </c>
      <c r="P528" s="5">
        <v>22258</v>
      </c>
      <c r="Q528" s="3">
        <v>46023</v>
      </c>
      <c r="R528" s="6">
        <f t="shared" si="20"/>
        <v>0</v>
      </c>
    </row>
    <row r="529" spans="1:18" x14ac:dyDescent="0.25">
      <c r="A529" s="2" t="s">
        <v>578</v>
      </c>
      <c r="B529" s="2" t="s">
        <v>1595</v>
      </c>
      <c r="C529" s="2" t="s">
        <v>1596</v>
      </c>
      <c r="D529" s="2" t="s">
        <v>1597</v>
      </c>
      <c r="E529" s="3">
        <v>45839</v>
      </c>
      <c r="F529" s="3">
        <v>46204</v>
      </c>
      <c r="G529" s="4">
        <v>0</v>
      </c>
      <c r="H529" s="10">
        <v>0.1075</v>
      </c>
      <c r="I529" s="10">
        <v>0.1026</v>
      </c>
      <c r="J529" s="5">
        <v>131000</v>
      </c>
      <c r="K529" s="5">
        <v>59275</v>
      </c>
      <c r="L529" s="5">
        <v>71725</v>
      </c>
      <c r="M529" s="4">
        <v>0.45</v>
      </c>
      <c r="N529" s="2">
        <v>5</v>
      </c>
      <c r="O529" s="5">
        <v>0</v>
      </c>
      <c r="P529" s="5">
        <v>531</v>
      </c>
      <c r="Q529" s="3">
        <v>46023</v>
      </c>
      <c r="R529" s="6">
        <f t="shared" si="20"/>
        <v>0</v>
      </c>
    </row>
    <row r="530" spans="1:18" x14ac:dyDescent="0.25">
      <c r="A530" s="2" t="s">
        <v>578</v>
      </c>
      <c r="B530" s="2" t="s">
        <v>1598</v>
      </c>
      <c r="C530" s="2" t="s">
        <v>1599</v>
      </c>
      <c r="D530" s="2" t="s">
        <v>1600</v>
      </c>
      <c r="E530" s="3">
        <v>45839</v>
      </c>
      <c r="F530" s="3">
        <v>46204</v>
      </c>
      <c r="G530" s="4">
        <v>0</v>
      </c>
      <c r="H530" s="10">
        <v>0.105</v>
      </c>
      <c r="I530" s="10">
        <v>0.1021</v>
      </c>
      <c r="J530" s="5">
        <v>346500</v>
      </c>
      <c r="K530" s="5">
        <v>345536</v>
      </c>
      <c r="L530" s="5">
        <v>964</v>
      </c>
      <c r="M530" s="4">
        <v>1</v>
      </c>
      <c r="N530" s="2">
        <v>3</v>
      </c>
      <c r="O530" s="5">
        <v>0</v>
      </c>
      <c r="P530" s="5">
        <v>3023</v>
      </c>
      <c r="Q530" s="3">
        <v>46023</v>
      </c>
      <c r="R530" s="6">
        <f t="shared" si="20"/>
        <v>0</v>
      </c>
    </row>
    <row r="531" spans="1:18" x14ac:dyDescent="0.25">
      <c r="A531" s="2" t="s">
        <v>578</v>
      </c>
      <c r="B531" s="2" t="s">
        <v>1601</v>
      </c>
      <c r="C531" s="2" t="s">
        <v>1602</v>
      </c>
      <c r="D531" s="2" t="s">
        <v>1603</v>
      </c>
      <c r="E531" s="3">
        <v>45840</v>
      </c>
      <c r="F531" s="3">
        <v>46205</v>
      </c>
      <c r="G531" s="4">
        <v>0</v>
      </c>
      <c r="H531" s="10">
        <v>0.115</v>
      </c>
      <c r="I531" s="10">
        <v>0.1041</v>
      </c>
      <c r="J531" s="5">
        <v>435260</v>
      </c>
      <c r="K531" s="5">
        <v>245129</v>
      </c>
      <c r="L531" s="5">
        <v>190131</v>
      </c>
      <c r="M531" s="4">
        <v>0.56000000000000005</v>
      </c>
      <c r="N531" s="2">
        <v>4</v>
      </c>
      <c r="O531" s="5">
        <v>0</v>
      </c>
      <c r="P531" s="5">
        <v>1636</v>
      </c>
      <c r="Q531" s="3">
        <v>46023</v>
      </c>
      <c r="R531" s="6">
        <f t="shared" si="20"/>
        <v>0</v>
      </c>
    </row>
    <row r="532" spans="1:18" x14ac:dyDescent="0.25">
      <c r="A532" s="2" t="s">
        <v>578</v>
      </c>
      <c r="B532" s="2" t="s">
        <v>1604</v>
      </c>
      <c r="C532" s="2" t="s">
        <v>1605</v>
      </c>
      <c r="D532" s="2" t="s">
        <v>1606</v>
      </c>
      <c r="E532" s="3">
        <v>45841</v>
      </c>
      <c r="F532" s="3">
        <v>46206</v>
      </c>
      <c r="G532" s="4">
        <v>0</v>
      </c>
      <c r="H532" s="10">
        <v>0.105</v>
      </c>
      <c r="I532" s="10">
        <v>0.1021</v>
      </c>
      <c r="J532" s="5">
        <v>460000</v>
      </c>
      <c r="K532" s="5">
        <v>460000</v>
      </c>
      <c r="L532" s="5">
        <v>0</v>
      </c>
      <c r="M532" s="4">
        <v>1</v>
      </c>
      <c r="N532" s="2">
        <v>1</v>
      </c>
      <c r="O532" s="5">
        <v>0</v>
      </c>
      <c r="P532" s="5">
        <v>4025</v>
      </c>
      <c r="Q532" s="3">
        <v>46023</v>
      </c>
      <c r="R532" s="6">
        <f t="shared" si="20"/>
        <v>0</v>
      </c>
    </row>
    <row r="533" spans="1:18" x14ac:dyDescent="0.25">
      <c r="A533" s="2" t="s">
        <v>578</v>
      </c>
      <c r="B533" s="2" t="s">
        <v>1607</v>
      </c>
      <c r="C533" s="2" t="s">
        <v>1608</v>
      </c>
      <c r="D533" s="2" t="s">
        <v>1609</v>
      </c>
      <c r="E533" s="3">
        <v>45841</v>
      </c>
      <c r="F533" s="3">
        <v>46206</v>
      </c>
      <c r="G533" s="4">
        <v>0</v>
      </c>
      <c r="H533" s="10">
        <v>0.105</v>
      </c>
      <c r="I533" s="10">
        <v>9.9199999999999997E-2</v>
      </c>
      <c r="J533" s="5">
        <v>480000</v>
      </c>
      <c r="K533" s="5">
        <v>432000</v>
      </c>
      <c r="L533" s="5">
        <v>48000</v>
      </c>
      <c r="M533" s="4">
        <v>0.9</v>
      </c>
      <c r="N533" s="2">
        <v>1</v>
      </c>
      <c r="O533" s="5">
        <v>0</v>
      </c>
      <c r="P533" s="5">
        <v>3780</v>
      </c>
      <c r="Q533" s="3">
        <v>46023</v>
      </c>
      <c r="R533" s="6">
        <f t="shared" si="20"/>
        <v>0</v>
      </c>
    </row>
    <row r="534" spans="1:18" x14ac:dyDescent="0.25">
      <c r="A534" s="2" t="s">
        <v>578</v>
      </c>
      <c r="B534" s="2" t="s">
        <v>1610</v>
      </c>
      <c r="C534" s="2" t="s">
        <v>1611</v>
      </c>
      <c r="D534" s="2" t="s">
        <v>1612</v>
      </c>
      <c r="E534" s="3">
        <v>45845</v>
      </c>
      <c r="F534" s="3">
        <v>46210</v>
      </c>
      <c r="G534" s="4">
        <v>0</v>
      </c>
      <c r="H534" s="10">
        <v>0.115</v>
      </c>
      <c r="I534" s="10">
        <v>0.114</v>
      </c>
      <c r="J534" s="5">
        <v>400899</v>
      </c>
      <c r="K534" s="5">
        <v>371229</v>
      </c>
      <c r="L534" s="5">
        <v>29670</v>
      </c>
      <c r="M534" s="4">
        <v>0.93</v>
      </c>
      <c r="N534" s="2">
        <v>8</v>
      </c>
      <c r="O534" s="5">
        <v>0</v>
      </c>
      <c r="P534" s="5">
        <v>2224</v>
      </c>
      <c r="Q534" s="3">
        <v>46023</v>
      </c>
      <c r="R534" s="6">
        <f t="shared" si="20"/>
        <v>0</v>
      </c>
    </row>
    <row r="535" spans="1:18" x14ac:dyDescent="0.25">
      <c r="A535" s="2" t="s">
        <v>578</v>
      </c>
      <c r="B535" s="2" t="s">
        <v>1613</v>
      </c>
      <c r="C535" s="2" t="s">
        <v>1614</v>
      </c>
      <c r="D535" s="2" t="s">
        <v>1615</v>
      </c>
      <c r="E535" s="3">
        <v>45848</v>
      </c>
      <c r="F535" s="3">
        <v>46213</v>
      </c>
      <c r="G535" s="4">
        <v>0</v>
      </c>
      <c r="H535" s="10">
        <v>0.1075</v>
      </c>
      <c r="I535" s="10">
        <v>0.1026</v>
      </c>
      <c r="J535" s="5">
        <v>266700</v>
      </c>
      <c r="K535" s="5">
        <v>225340</v>
      </c>
      <c r="L535" s="5">
        <v>41360</v>
      </c>
      <c r="M535" s="4">
        <v>0.84</v>
      </c>
      <c r="N535" s="2">
        <v>2</v>
      </c>
      <c r="O535" s="5">
        <v>0</v>
      </c>
      <c r="P535" s="5">
        <v>2019</v>
      </c>
      <c r="Q535" s="3">
        <v>46023</v>
      </c>
      <c r="R535" s="6">
        <f t="shared" si="20"/>
        <v>0</v>
      </c>
    </row>
    <row r="536" spans="1:18" x14ac:dyDescent="0.25">
      <c r="A536" s="2" t="s">
        <v>578</v>
      </c>
      <c r="B536" s="2" t="s">
        <v>1616</v>
      </c>
      <c r="C536" s="2" t="s">
        <v>1617</v>
      </c>
      <c r="D536" s="2" t="s">
        <v>1618</v>
      </c>
      <c r="E536" s="3">
        <v>45848</v>
      </c>
      <c r="F536" s="3">
        <v>46213</v>
      </c>
      <c r="G536" s="4">
        <v>0</v>
      </c>
      <c r="H536" s="10">
        <v>0.1075</v>
      </c>
      <c r="I536" s="10">
        <v>0.1026</v>
      </c>
      <c r="J536" s="5">
        <v>786295</v>
      </c>
      <c r="K536" s="5">
        <v>704453</v>
      </c>
      <c r="L536" s="5">
        <v>81842</v>
      </c>
      <c r="M536" s="4">
        <v>0.9</v>
      </c>
      <c r="N536" s="2">
        <v>4</v>
      </c>
      <c r="O536" s="5">
        <v>0</v>
      </c>
      <c r="P536" s="5">
        <v>5701</v>
      </c>
      <c r="Q536" s="3">
        <v>46023</v>
      </c>
      <c r="R536" s="6">
        <f t="shared" si="20"/>
        <v>0</v>
      </c>
    </row>
    <row r="537" spans="1:18" x14ac:dyDescent="0.25">
      <c r="A537" s="2" t="s">
        <v>578</v>
      </c>
      <c r="B537" s="2" t="s">
        <v>1619</v>
      </c>
      <c r="C537" s="2" t="s">
        <v>1620</v>
      </c>
      <c r="D537" s="2" t="s">
        <v>1621</v>
      </c>
      <c r="E537" s="3">
        <v>45848</v>
      </c>
      <c r="F537" s="3">
        <v>46213</v>
      </c>
      <c r="G537" s="4">
        <v>0</v>
      </c>
      <c r="H537" s="10">
        <v>0.105</v>
      </c>
      <c r="I537" s="10">
        <v>0.1021</v>
      </c>
      <c r="J537" s="5">
        <v>479500</v>
      </c>
      <c r="K537" s="5">
        <v>436500</v>
      </c>
      <c r="L537" s="5">
        <v>43000</v>
      </c>
      <c r="M537" s="4">
        <v>0.91</v>
      </c>
      <c r="N537" s="2">
        <v>1</v>
      </c>
      <c r="O537" s="5">
        <v>0</v>
      </c>
      <c r="P537" s="5">
        <v>3819</v>
      </c>
      <c r="Q537" s="3">
        <v>46023</v>
      </c>
      <c r="R537" s="6">
        <f t="shared" si="20"/>
        <v>0</v>
      </c>
    </row>
    <row r="538" spans="1:18" x14ac:dyDescent="0.25">
      <c r="A538" s="2" t="s">
        <v>578</v>
      </c>
      <c r="B538" s="2" t="s">
        <v>1622</v>
      </c>
      <c r="C538" s="2" t="s">
        <v>1623</v>
      </c>
      <c r="D538" s="2" t="s">
        <v>1624</v>
      </c>
      <c r="E538" s="3">
        <v>45849</v>
      </c>
      <c r="F538" s="3">
        <v>46214</v>
      </c>
      <c r="G538" s="4">
        <v>0</v>
      </c>
      <c r="H538" s="10">
        <v>0.115</v>
      </c>
      <c r="I538" s="10">
        <v>0.114</v>
      </c>
      <c r="J538" s="5">
        <v>289250</v>
      </c>
      <c r="K538" s="5">
        <v>289250</v>
      </c>
      <c r="L538" s="5">
        <v>0</v>
      </c>
      <c r="M538" s="4">
        <v>1</v>
      </c>
      <c r="N538" s="2">
        <v>7</v>
      </c>
      <c r="O538" s="5">
        <v>0</v>
      </c>
      <c r="P538" s="5">
        <v>2772</v>
      </c>
      <c r="Q538" s="3">
        <v>46023</v>
      </c>
      <c r="R538" s="6">
        <f t="shared" si="20"/>
        <v>0</v>
      </c>
    </row>
    <row r="539" spans="1:18" x14ac:dyDescent="0.25">
      <c r="A539" s="2" t="s">
        <v>578</v>
      </c>
      <c r="B539" s="2" t="s">
        <v>1625</v>
      </c>
      <c r="C539" s="2" t="s">
        <v>1626</v>
      </c>
      <c r="D539" s="2" t="s">
        <v>1627</v>
      </c>
      <c r="E539" s="3">
        <v>45849</v>
      </c>
      <c r="F539" s="3">
        <v>46214</v>
      </c>
      <c r="G539" s="4">
        <v>0</v>
      </c>
      <c r="H539" s="10">
        <v>0.1075</v>
      </c>
      <c r="I539" s="10">
        <v>0.1026</v>
      </c>
      <c r="J539" s="5">
        <v>115500</v>
      </c>
      <c r="K539" s="5">
        <v>115500</v>
      </c>
      <c r="L539" s="5">
        <v>0</v>
      </c>
      <c r="M539" s="4">
        <v>1</v>
      </c>
      <c r="N539" s="2">
        <v>3</v>
      </c>
      <c r="O539" s="5">
        <v>0</v>
      </c>
      <c r="P539" s="5">
        <v>1035</v>
      </c>
      <c r="Q539" s="3">
        <v>46023</v>
      </c>
      <c r="R539" s="6">
        <f t="shared" si="20"/>
        <v>0</v>
      </c>
    </row>
    <row r="540" spans="1:18" x14ac:dyDescent="0.25">
      <c r="A540" s="2" t="s">
        <v>578</v>
      </c>
      <c r="B540" s="2" t="s">
        <v>1628</v>
      </c>
      <c r="C540" s="2" t="s">
        <v>1629</v>
      </c>
      <c r="D540" s="2" t="s">
        <v>1630</v>
      </c>
      <c r="E540" s="3">
        <v>45849</v>
      </c>
      <c r="F540" s="3">
        <v>46214</v>
      </c>
      <c r="G540" s="4">
        <v>0</v>
      </c>
      <c r="H540" s="10">
        <v>0.105</v>
      </c>
      <c r="I540" s="10">
        <v>0.1021</v>
      </c>
      <c r="J540" s="5">
        <v>324000</v>
      </c>
      <c r="K540" s="5">
        <v>324000</v>
      </c>
      <c r="L540" s="5">
        <v>0</v>
      </c>
      <c r="M540" s="4">
        <v>1</v>
      </c>
      <c r="N540" s="2">
        <v>1</v>
      </c>
      <c r="O540" s="5">
        <v>8694</v>
      </c>
      <c r="P540" s="5">
        <v>2835</v>
      </c>
      <c r="Q540" s="3">
        <v>45931</v>
      </c>
      <c r="R540" s="6">
        <f t="shared" si="20"/>
        <v>0</v>
      </c>
    </row>
    <row r="541" spans="1:18" x14ac:dyDescent="0.25">
      <c r="A541" s="2" t="s">
        <v>578</v>
      </c>
      <c r="B541" s="2" t="s">
        <v>1631</v>
      </c>
      <c r="C541" s="2" t="s">
        <v>1632</v>
      </c>
      <c r="D541" s="2" t="s">
        <v>1633</v>
      </c>
      <c r="E541" s="3">
        <v>45853</v>
      </c>
      <c r="F541" s="3">
        <v>46218</v>
      </c>
      <c r="G541" s="4">
        <v>0</v>
      </c>
      <c r="H541" s="10">
        <v>0.105</v>
      </c>
      <c r="I541" s="10">
        <v>0.104</v>
      </c>
      <c r="J541" s="5">
        <v>170100</v>
      </c>
      <c r="K541" s="5">
        <v>170100</v>
      </c>
      <c r="L541" s="5">
        <v>0</v>
      </c>
      <c r="M541" s="4">
        <v>1</v>
      </c>
      <c r="N541" s="2">
        <v>3</v>
      </c>
      <c r="O541" s="5">
        <v>0</v>
      </c>
      <c r="P541" s="5">
        <v>1318</v>
      </c>
      <c r="Q541" s="3">
        <v>46023</v>
      </c>
      <c r="R541" s="6">
        <f t="shared" si="20"/>
        <v>0</v>
      </c>
    </row>
    <row r="542" spans="1:18" x14ac:dyDescent="0.25">
      <c r="A542" s="2" t="s">
        <v>578</v>
      </c>
      <c r="B542" s="2" t="s">
        <v>1634</v>
      </c>
      <c r="C542" s="2" t="s">
        <v>1635</v>
      </c>
      <c r="D542" s="2" t="s">
        <v>1636</v>
      </c>
      <c r="E542" s="3">
        <v>45855</v>
      </c>
      <c r="F542" s="3">
        <v>46220</v>
      </c>
      <c r="G542" s="4">
        <v>0</v>
      </c>
      <c r="H542" s="10">
        <v>0.1075</v>
      </c>
      <c r="I542" s="10">
        <v>0.1026</v>
      </c>
      <c r="J542" s="5">
        <v>408750</v>
      </c>
      <c r="K542" s="5">
        <v>378218</v>
      </c>
      <c r="L542" s="5">
        <v>30532</v>
      </c>
      <c r="M542" s="4">
        <v>0.93</v>
      </c>
      <c r="N542" s="2">
        <v>4</v>
      </c>
      <c r="O542" s="5">
        <v>0</v>
      </c>
      <c r="P542" s="5">
        <v>3270</v>
      </c>
      <c r="Q542" s="3">
        <v>46023</v>
      </c>
      <c r="R542" s="6">
        <f t="shared" si="20"/>
        <v>0</v>
      </c>
    </row>
    <row r="543" spans="1:18" x14ac:dyDescent="0.25">
      <c r="A543" s="2" t="s">
        <v>578</v>
      </c>
      <c r="B543" s="2" t="s">
        <v>1637</v>
      </c>
      <c r="C543" s="2" t="s">
        <v>1638</v>
      </c>
      <c r="D543" s="2" t="s">
        <v>1639</v>
      </c>
      <c r="E543" s="3">
        <v>45856</v>
      </c>
      <c r="F543" s="3">
        <v>46221</v>
      </c>
      <c r="G543" s="4">
        <v>0</v>
      </c>
      <c r="H543" s="10">
        <v>0.115</v>
      </c>
      <c r="I543" s="10">
        <v>0.114</v>
      </c>
      <c r="J543" s="5">
        <v>320360</v>
      </c>
      <c r="K543" s="5">
        <v>239082</v>
      </c>
      <c r="L543" s="5">
        <v>81278</v>
      </c>
      <c r="M543" s="4">
        <v>0.75</v>
      </c>
      <c r="N543" s="2">
        <v>4</v>
      </c>
      <c r="O543" s="5">
        <v>0</v>
      </c>
      <c r="P543" s="5">
        <v>1736</v>
      </c>
      <c r="Q543" s="3">
        <v>46023</v>
      </c>
      <c r="R543" s="6">
        <f t="shared" si="20"/>
        <v>0</v>
      </c>
    </row>
    <row r="544" spans="1:18" x14ac:dyDescent="0.25">
      <c r="A544" s="2" t="s">
        <v>578</v>
      </c>
      <c r="B544" s="2" t="s">
        <v>1640</v>
      </c>
      <c r="C544" s="2" t="s">
        <v>1641</v>
      </c>
      <c r="D544" s="2" t="s">
        <v>1642</v>
      </c>
      <c r="E544" s="3">
        <v>45856</v>
      </c>
      <c r="F544" s="3">
        <v>46221</v>
      </c>
      <c r="G544" s="4">
        <v>0</v>
      </c>
      <c r="H544" s="10">
        <v>0.1</v>
      </c>
      <c r="I544" s="10">
        <v>9.9000000000000005E-2</v>
      </c>
      <c r="J544" s="5">
        <v>588750</v>
      </c>
      <c r="K544" s="5">
        <v>513000</v>
      </c>
      <c r="L544" s="5">
        <v>75750</v>
      </c>
      <c r="M544" s="4">
        <v>0.87</v>
      </c>
      <c r="N544" s="2">
        <v>1</v>
      </c>
      <c r="O544" s="5">
        <v>0</v>
      </c>
      <c r="P544" s="5">
        <v>4275</v>
      </c>
      <c r="Q544" s="3">
        <v>46021</v>
      </c>
      <c r="R544" s="6">
        <f t="shared" si="20"/>
        <v>0</v>
      </c>
    </row>
    <row r="545" spans="1:18" x14ac:dyDescent="0.25">
      <c r="A545" s="2" t="s">
        <v>578</v>
      </c>
      <c r="B545" s="2" t="s">
        <v>1643</v>
      </c>
      <c r="C545" s="2" t="s">
        <v>1644</v>
      </c>
      <c r="D545" s="2" t="s">
        <v>1645</v>
      </c>
      <c r="E545" s="3">
        <v>45856</v>
      </c>
      <c r="F545" s="3">
        <v>46221</v>
      </c>
      <c r="G545" s="4">
        <v>0</v>
      </c>
      <c r="H545" s="10">
        <v>0.11</v>
      </c>
      <c r="I545" s="10">
        <v>0.1031</v>
      </c>
      <c r="J545" s="5">
        <v>454650</v>
      </c>
      <c r="K545" s="5">
        <v>445301</v>
      </c>
      <c r="L545" s="5">
        <v>9349</v>
      </c>
      <c r="M545" s="4">
        <v>0.98</v>
      </c>
      <c r="N545" s="2">
        <v>5</v>
      </c>
      <c r="O545" s="5">
        <v>0</v>
      </c>
      <c r="P545" s="5">
        <v>3992</v>
      </c>
      <c r="Q545" s="3">
        <v>46023</v>
      </c>
      <c r="R545" s="6">
        <f t="shared" si="20"/>
        <v>0</v>
      </c>
    </row>
    <row r="546" spans="1:18" x14ac:dyDescent="0.25">
      <c r="A546" s="2" t="s">
        <v>578</v>
      </c>
      <c r="B546" s="2" t="s">
        <v>1646</v>
      </c>
      <c r="C546" s="2" t="s">
        <v>1647</v>
      </c>
      <c r="D546" s="2" t="s">
        <v>1648</v>
      </c>
      <c r="E546" s="3">
        <v>45856</v>
      </c>
      <c r="F546" s="3">
        <v>46221</v>
      </c>
      <c r="G546" s="4">
        <v>0</v>
      </c>
      <c r="H546" s="10">
        <v>0.1125</v>
      </c>
      <c r="I546" s="10">
        <v>0.1062</v>
      </c>
      <c r="J546" s="5">
        <v>136430</v>
      </c>
      <c r="K546" s="5">
        <v>120354</v>
      </c>
      <c r="L546" s="5">
        <v>16076</v>
      </c>
      <c r="M546" s="4">
        <v>0.88</v>
      </c>
      <c r="N546" s="2">
        <v>2</v>
      </c>
      <c r="O546" s="5">
        <v>0</v>
      </c>
      <c r="P546" s="5">
        <v>1128</v>
      </c>
      <c r="Q546" s="3">
        <v>46023</v>
      </c>
      <c r="R546" s="6">
        <f t="shared" si="20"/>
        <v>0</v>
      </c>
    </row>
    <row r="547" spans="1:18" x14ac:dyDescent="0.25">
      <c r="A547" s="2" t="s">
        <v>578</v>
      </c>
      <c r="B547" s="2" t="s">
        <v>1649</v>
      </c>
      <c r="C547" s="2" t="s">
        <v>1650</v>
      </c>
      <c r="D547" s="2" t="s">
        <v>1651</v>
      </c>
      <c r="E547" s="3">
        <v>45860</v>
      </c>
      <c r="F547" s="3">
        <v>46225</v>
      </c>
      <c r="G547" s="4">
        <v>0</v>
      </c>
      <c r="H547" s="10">
        <v>0.1075</v>
      </c>
      <c r="I547" s="10">
        <v>0.1048</v>
      </c>
      <c r="J547" s="5">
        <v>180000</v>
      </c>
      <c r="K547" s="5">
        <v>180000</v>
      </c>
      <c r="L547" s="5">
        <v>0</v>
      </c>
      <c r="M547" s="4">
        <v>1</v>
      </c>
      <c r="N547" s="2">
        <v>2</v>
      </c>
      <c r="O547" s="5">
        <v>0</v>
      </c>
      <c r="P547" s="5">
        <v>1389</v>
      </c>
      <c r="Q547" s="3">
        <v>46023</v>
      </c>
      <c r="R547" s="6">
        <f t="shared" si="20"/>
        <v>0</v>
      </c>
    </row>
    <row r="548" spans="1:18" x14ac:dyDescent="0.25">
      <c r="A548" s="2" t="s">
        <v>578</v>
      </c>
      <c r="B548" s="2" t="s">
        <v>1652</v>
      </c>
      <c r="C548" s="2" t="s">
        <v>1653</v>
      </c>
      <c r="D548" s="2" t="s">
        <v>1654</v>
      </c>
      <c r="E548" s="3">
        <v>45861</v>
      </c>
      <c r="F548" s="3">
        <v>46226</v>
      </c>
      <c r="G548" s="4">
        <v>0</v>
      </c>
      <c r="H548" s="10">
        <v>0.1075</v>
      </c>
      <c r="I548" s="10">
        <v>0.1062</v>
      </c>
      <c r="J548" s="5">
        <v>429550</v>
      </c>
      <c r="K548" s="5">
        <v>420095</v>
      </c>
      <c r="L548" s="5">
        <v>9455</v>
      </c>
      <c r="M548" s="4">
        <v>0.98</v>
      </c>
      <c r="N548" s="2">
        <v>3</v>
      </c>
      <c r="O548" s="5">
        <v>0</v>
      </c>
      <c r="P548" s="5">
        <v>3763</v>
      </c>
      <c r="Q548" s="3">
        <v>46023</v>
      </c>
      <c r="R548" s="6">
        <f t="shared" si="20"/>
        <v>0</v>
      </c>
    </row>
    <row r="549" spans="1:18" x14ac:dyDescent="0.25">
      <c r="A549" s="2" t="s">
        <v>578</v>
      </c>
      <c r="B549" s="2" t="s">
        <v>1655</v>
      </c>
      <c r="C549" s="2" t="s">
        <v>1656</v>
      </c>
      <c r="D549" s="2" t="s">
        <v>1657</v>
      </c>
      <c r="E549" s="3">
        <v>45862</v>
      </c>
      <c r="F549" s="3">
        <v>46227</v>
      </c>
      <c r="G549" s="4">
        <v>0</v>
      </c>
      <c r="H549" s="10">
        <v>0.1075</v>
      </c>
      <c r="I549" s="10">
        <v>0.1026</v>
      </c>
      <c r="J549" s="5">
        <v>445550</v>
      </c>
      <c r="K549" s="5">
        <v>360000</v>
      </c>
      <c r="L549" s="5">
        <v>85550</v>
      </c>
      <c r="M549" s="4">
        <v>0.81</v>
      </c>
      <c r="N549" s="2">
        <v>1</v>
      </c>
      <c r="O549" s="5">
        <v>0</v>
      </c>
      <c r="P549" s="5">
        <v>3225</v>
      </c>
      <c r="Q549" s="3">
        <v>46023</v>
      </c>
      <c r="R549" s="6">
        <f t="shared" ref="R549:R598" si="21">G549*K549</f>
        <v>0</v>
      </c>
    </row>
    <row r="550" spans="1:18" x14ac:dyDescent="0.25">
      <c r="A550" s="2" t="s">
        <v>578</v>
      </c>
      <c r="B550" s="2" t="s">
        <v>1658</v>
      </c>
      <c r="C550" s="2" t="s">
        <v>1659</v>
      </c>
      <c r="D550" s="2" t="s">
        <v>1660</v>
      </c>
      <c r="E550" s="3">
        <v>45863</v>
      </c>
      <c r="F550" s="3">
        <v>46228</v>
      </c>
      <c r="G550" s="4">
        <v>0</v>
      </c>
      <c r="H550" s="10">
        <v>0.115</v>
      </c>
      <c r="I550" s="10">
        <v>0.114</v>
      </c>
      <c r="J550" s="5">
        <v>388300</v>
      </c>
      <c r="K550" s="5">
        <v>388300</v>
      </c>
      <c r="L550" s="5">
        <v>0</v>
      </c>
      <c r="M550" s="4">
        <v>1</v>
      </c>
      <c r="N550" s="2">
        <v>6</v>
      </c>
      <c r="O550" s="5">
        <v>0</v>
      </c>
      <c r="P550" s="5">
        <v>2893</v>
      </c>
      <c r="Q550" s="3">
        <v>46023</v>
      </c>
      <c r="R550" s="6">
        <f t="shared" si="21"/>
        <v>0</v>
      </c>
    </row>
    <row r="551" spans="1:18" x14ac:dyDescent="0.25">
      <c r="A551" s="2" t="s">
        <v>578</v>
      </c>
      <c r="B551" s="2" t="s">
        <v>1661</v>
      </c>
      <c r="C551" s="2" t="s">
        <v>1662</v>
      </c>
      <c r="D551" s="2" t="s">
        <v>1663</v>
      </c>
      <c r="E551" s="3">
        <v>45863</v>
      </c>
      <c r="F551" s="3">
        <v>46228</v>
      </c>
      <c r="G551" s="4">
        <v>0</v>
      </c>
      <c r="H551" s="10">
        <v>0.1075</v>
      </c>
      <c r="I551" s="10">
        <v>0.1018</v>
      </c>
      <c r="J551" s="5">
        <v>201000</v>
      </c>
      <c r="K551" s="5">
        <v>195100</v>
      </c>
      <c r="L551" s="5">
        <v>5900</v>
      </c>
      <c r="M551" s="4">
        <v>0.97</v>
      </c>
      <c r="N551" s="2">
        <v>5</v>
      </c>
      <c r="O551" s="5">
        <v>0</v>
      </c>
      <c r="P551" s="5">
        <v>1748</v>
      </c>
      <c r="Q551" s="3">
        <v>46023</v>
      </c>
      <c r="R551" s="6">
        <f t="shared" si="21"/>
        <v>0</v>
      </c>
    </row>
    <row r="552" spans="1:18" x14ac:dyDescent="0.25">
      <c r="A552" s="2" t="s">
        <v>578</v>
      </c>
      <c r="B552" s="2" t="s">
        <v>1664</v>
      </c>
      <c r="C552" s="2" t="s">
        <v>1665</v>
      </c>
      <c r="D552" s="2" t="s">
        <v>1666</v>
      </c>
      <c r="E552" s="3">
        <v>45863</v>
      </c>
      <c r="F552" s="3">
        <v>46228</v>
      </c>
      <c r="G552" s="4">
        <v>0</v>
      </c>
      <c r="H552" s="10">
        <v>0.1075</v>
      </c>
      <c r="I552" s="10">
        <v>0.1026</v>
      </c>
      <c r="J552" s="5">
        <v>161000</v>
      </c>
      <c r="K552" s="5">
        <v>104000</v>
      </c>
      <c r="L552" s="5">
        <v>57000</v>
      </c>
      <c r="M552" s="4">
        <v>0.65</v>
      </c>
      <c r="N552" s="2">
        <v>2</v>
      </c>
      <c r="O552" s="5">
        <v>0</v>
      </c>
      <c r="P552" s="5">
        <v>932</v>
      </c>
      <c r="Q552" s="3">
        <v>46023</v>
      </c>
      <c r="R552" s="6">
        <f t="shared" si="21"/>
        <v>0</v>
      </c>
    </row>
    <row r="553" spans="1:18" x14ac:dyDescent="0.25">
      <c r="A553" s="2" t="s">
        <v>578</v>
      </c>
      <c r="B553" s="2" t="s">
        <v>1667</v>
      </c>
      <c r="C553" s="2" t="s">
        <v>1668</v>
      </c>
      <c r="D553" s="2" t="s">
        <v>1669</v>
      </c>
      <c r="E553" s="3">
        <v>45863</v>
      </c>
      <c r="F553" s="3">
        <v>46228</v>
      </c>
      <c r="G553" s="4">
        <v>0</v>
      </c>
      <c r="H553" s="10">
        <v>0.114</v>
      </c>
      <c r="I553" s="10">
        <v>0.1135</v>
      </c>
      <c r="J553" s="5">
        <v>502320</v>
      </c>
      <c r="K553" s="5">
        <v>30000</v>
      </c>
      <c r="L553" s="5">
        <v>472320</v>
      </c>
      <c r="M553" s="4">
        <v>0.06</v>
      </c>
      <c r="N553" s="2">
        <v>1</v>
      </c>
      <c r="O553" s="5">
        <v>0</v>
      </c>
      <c r="P553" s="5">
        <v>285</v>
      </c>
      <c r="Q553" s="3">
        <v>46023</v>
      </c>
      <c r="R553" s="6">
        <f t="shared" si="21"/>
        <v>0</v>
      </c>
    </row>
    <row r="554" spans="1:18" x14ac:dyDescent="0.25">
      <c r="A554" s="2" t="s">
        <v>578</v>
      </c>
      <c r="B554" s="2" t="s">
        <v>1670</v>
      </c>
      <c r="C554" s="2" t="s">
        <v>1671</v>
      </c>
      <c r="D554" s="2" t="s">
        <v>1672</v>
      </c>
      <c r="E554" s="3">
        <v>45866</v>
      </c>
      <c r="F554" s="3">
        <v>46231</v>
      </c>
      <c r="G554" s="4">
        <v>0</v>
      </c>
      <c r="H554" s="10">
        <v>0.1</v>
      </c>
      <c r="I554" s="10">
        <v>9.9000000000000005E-2</v>
      </c>
      <c r="J554" s="5">
        <v>639000</v>
      </c>
      <c r="K554" s="5">
        <v>540000</v>
      </c>
      <c r="L554" s="5">
        <v>99000</v>
      </c>
      <c r="M554" s="4">
        <v>0.85</v>
      </c>
      <c r="N554" s="2">
        <v>1</v>
      </c>
      <c r="O554" s="5">
        <v>0</v>
      </c>
      <c r="P554" s="5">
        <v>4500</v>
      </c>
      <c r="Q554" s="3">
        <v>46023</v>
      </c>
      <c r="R554" s="6">
        <f t="shared" si="21"/>
        <v>0</v>
      </c>
    </row>
    <row r="555" spans="1:18" x14ac:dyDescent="0.25">
      <c r="A555" s="2" t="s">
        <v>578</v>
      </c>
      <c r="B555" s="2" t="s">
        <v>1673</v>
      </c>
      <c r="C555" s="2" t="s">
        <v>1674</v>
      </c>
      <c r="D555" s="2" t="s">
        <v>1675</v>
      </c>
      <c r="E555" s="3">
        <v>45867</v>
      </c>
      <c r="F555" s="3">
        <v>46232</v>
      </c>
      <c r="G555" s="4">
        <v>0</v>
      </c>
      <c r="H555" s="10">
        <v>0.11</v>
      </c>
      <c r="I555" s="10">
        <v>0.1031</v>
      </c>
      <c r="J555" s="5">
        <v>309000</v>
      </c>
      <c r="K555" s="5">
        <v>309000</v>
      </c>
      <c r="L555" s="5">
        <v>0</v>
      </c>
      <c r="M555" s="4">
        <v>1</v>
      </c>
      <c r="N555" s="2">
        <v>2</v>
      </c>
      <c r="O555" s="5">
        <v>0</v>
      </c>
      <c r="P555" s="5">
        <v>2832</v>
      </c>
      <c r="Q555" s="3">
        <v>46023</v>
      </c>
      <c r="R555" s="6">
        <f t="shared" si="21"/>
        <v>0</v>
      </c>
    </row>
    <row r="556" spans="1:18" x14ac:dyDescent="0.25">
      <c r="A556" s="2" t="s">
        <v>578</v>
      </c>
      <c r="B556" s="2" t="s">
        <v>1676</v>
      </c>
      <c r="C556" s="2" t="s">
        <v>1677</v>
      </c>
      <c r="D556" s="2" t="s">
        <v>1678</v>
      </c>
      <c r="E556" s="3">
        <v>45867</v>
      </c>
      <c r="F556" s="3">
        <v>46232</v>
      </c>
      <c r="G556" s="4">
        <v>0</v>
      </c>
      <c r="H556" s="10">
        <v>0.1075</v>
      </c>
      <c r="I556" s="10">
        <v>0.1026</v>
      </c>
      <c r="J556" s="5">
        <v>236000</v>
      </c>
      <c r="K556" s="5">
        <v>236000</v>
      </c>
      <c r="L556" s="5">
        <v>0</v>
      </c>
      <c r="M556" s="4">
        <v>1</v>
      </c>
      <c r="N556" s="2">
        <v>6</v>
      </c>
      <c r="O556" s="5">
        <v>0</v>
      </c>
      <c r="P556" s="5">
        <v>2027</v>
      </c>
      <c r="Q556" s="3">
        <v>46023</v>
      </c>
      <c r="R556" s="6">
        <f t="shared" si="21"/>
        <v>0</v>
      </c>
    </row>
    <row r="557" spans="1:18" x14ac:dyDescent="0.25">
      <c r="A557" s="2" t="s">
        <v>578</v>
      </c>
      <c r="B557" s="2" t="s">
        <v>1679</v>
      </c>
      <c r="C557" s="2" t="s">
        <v>1680</v>
      </c>
      <c r="D557" s="2" t="s">
        <v>1681</v>
      </c>
      <c r="E557" s="3">
        <v>45867</v>
      </c>
      <c r="F557" s="3">
        <v>46232</v>
      </c>
      <c r="G557" s="4">
        <v>0</v>
      </c>
      <c r="H557" s="10">
        <v>0.105</v>
      </c>
      <c r="I557" s="10">
        <v>0.1021</v>
      </c>
      <c r="J557" s="5">
        <v>257200</v>
      </c>
      <c r="K557" s="5">
        <v>257200</v>
      </c>
      <c r="L557" s="5">
        <v>0</v>
      </c>
      <c r="M557" s="4">
        <v>1</v>
      </c>
      <c r="N557" s="2">
        <v>2</v>
      </c>
      <c r="O557" s="5">
        <v>0</v>
      </c>
      <c r="P557" s="5">
        <v>2250</v>
      </c>
      <c r="Q557" s="3">
        <v>46023</v>
      </c>
      <c r="R557" s="6">
        <f t="shared" si="21"/>
        <v>0</v>
      </c>
    </row>
    <row r="558" spans="1:18" x14ac:dyDescent="0.25">
      <c r="A558" s="2" t="s">
        <v>578</v>
      </c>
      <c r="B558" s="2" t="s">
        <v>1682</v>
      </c>
      <c r="C558" s="2" t="s">
        <v>1683</v>
      </c>
      <c r="D558" s="2" t="s">
        <v>1684</v>
      </c>
      <c r="E558" s="3">
        <v>45867</v>
      </c>
      <c r="F558" s="3">
        <v>46232</v>
      </c>
      <c r="G558" s="4">
        <v>0</v>
      </c>
      <c r="H558" s="10">
        <v>0.105</v>
      </c>
      <c r="I558" s="10">
        <v>0.1021</v>
      </c>
      <c r="J558" s="5">
        <v>396000</v>
      </c>
      <c r="K558" s="5">
        <v>396000</v>
      </c>
      <c r="L558" s="5">
        <v>0</v>
      </c>
      <c r="M558" s="4">
        <v>1</v>
      </c>
      <c r="N558" s="2">
        <v>1</v>
      </c>
      <c r="O558" s="5">
        <v>0</v>
      </c>
      <c r="P558" s="5">
        <v>3465</v>
      </c>
      <c r="Q558" s="3">
        <v>46023</v>
      </c>
      <c r="R558" s="6">
        <f t="shared" si="21"/>
        <v>0</v>
      </c>
    </row>
    <row r="559" spans="1:18" x14ac:dyDescent="0.25">
      <c r="A559" s="2" t="s">
        <v>578</v>
      </c>
      <c r="B559" s="2" t="s">
        <v>1685</v>
      </c>
      <c r="C559" s="2" t="s">
        <v>1686</v>
      </c>
      <c r="D559" s="2" t="s">
        <v>1687</v>
      </c>
      <c r="E559" s="3">
        <v>45867</v>
      </c>
      <c r="F559" s="3">
        <v>46232</v>
      </c>
      <c r="G559" s="4">
        <v>0</v>
      </c>
      <c r="H559" s="10">
        <v>0.1099</v>
      </c>
      <c r="I559" s="10">
        <v>0.1031</v>
      </c>
      <c r="J559" s="5">
        <v>189750</v>
      </c>
      <c r="K559" s="5">
        <v>131300</v>
      </c>
      <c r="L559" s="5">
        <v>58450</v>
      </c>
      <c r="M559" s="4">
        <v>0.69</v>
      </c>
      <c r="N559" s="2">
        <v>10</v>
      </c>
      <c r="O559" s="5">
        <v>0</v>
      </c>
      <c r="P559" s="5">
        <v>924</v>
      </c>
      <c r="Q559" s="3">
        <v>46023</v>
      </c>
      <c r="R559" s="6">
        <f t="shared" si="21"/>
        <v>0</v>
      </c>
    </row>
    <row r="560" spans="1:18" x14ac:dyDescent="0.25">
      <c r="A560" s="2" t="s">
        <v>578</v>
      </c>
      <c r="B560" s="2" t="s">
        <v>1688</v>
      </c>
      <c r="C560" s="2" t="s">
        <v>1689</v>
      </c>
      <c r="D560" s="2" t="s">
        <v>1690</v>
      </c>
      <c r="E560" s="3">
        <v>45868</v>
      </c>
      <c r="F560" s="3">
        <v>46233</v>
      </c>
      <c r="G560" s="4">
        <v>0</v>
      </c>
      <c r="H560" s="10">
        <v>0.1075</v>
      </c>
      <c r="I560" s="10">
        <v>0.1026</v>
      </c>
      <c r="J560" s="5">
        <v>446275</v>
      </c>
      <c r="K560" s="5">
        <v>361800</v>
      </c>
      <c r="L560" s="5">
        <v>84475</v>
      </c>
      <c r="M560" s="4">
        <v>0.81</v>
      </c>
      <c r="N560" s="2">
        <v>1</v>
      </c>
      <c r="O560" s="5">
        <v>0</v>
      </c>
      <c r="P560" s="5">
        <v>3241</v>
      </c>
      <c r="Q560" s="3">
        <v>46023</v>
      </c>
      <c r="R560" s="6">
        <f t="shared" si="21"/>
        <v>0</v>
      </c>
    </row>
    <row r="561" spans="1:18" x14ac:dyDescent="0.25">
      <c r="A561" s="2" t="s">
        <v>578</v>
      </c>
      <c r="B561" s="2" t="s">
        <v>1691</v>
      </c>
      <c r="C561" s="2" t="s">
        <v>1692</v>
      </c>
      <c r="D561" s="2" t="s">
        <v>1693</v>
      </c>
      <c r="E561" s="3">
        <v>45869</v>
      </c>
      <c r="F561" s="3">
        <v>46234</v>
      </c>
      <c r="G561" s="4">
        <v>0</v>
      </c>
      <c r="H561" s="10">
        <v>0.10249999999999999</v>
      </c>
      <c r="I561" s="10">
        <v>0.10050000000000001</v>
      </c>
      <c r="J561" s="5">
        <v>833000</v>
      </c>
      <c r="K561" s="5">
        <v>519750</v>
      </c>
      <c r="L561" s="5">
        <v>313250</v>
      </c>
      <c r="M561" s="4">
        <v>0.62</v>
      </c>
      <c r="N561" s="2">
        <v>1</v>
      </c>
      <c r="O561" s="5">
        <v>0</v>
      </c>
      <c r="P561" s="5">
        <v>4440</v>
      </c>
      <c r="Q561" s="3">
        <v>46023</v>
      </c>
      <c r="R561" s="6">
        <f t="shared" si="21"/>
        <v>0</v>
      </c>
    </row>
    <row r="562" spans="1:18" x14ac:dyDescent="0.25">
      <c r="A562" s="2" t="s">
        <v>578</v>
      </c>
      <c r="B562" s="2" t="s">
        <v>1694</v>
      </c>
      <c r="C562" s="2" t="s">
        <v>1695</v>
      </c>
      <c r="D562" s="2" t="s">
        <v>1696</v>
      </c>
      <c r="E562" s="3">
        <v>45869</v>
      </c>
      <c r="F562" s="3">
        <v>46234</v>
      </c>
      <c r="G562" s="4">
        <v>0</v>
      </c>
      <c r="H562" s="10">
        <v>0.11</v>
      </c>
      <c r="I562" s="10">
        <v>0.1031</v>
      </c>
      <c r="J562" s="5">
        <v>134000</v>
      </c>
      <c r="K562" s="5">
        <v>121875</v>
      </c>
      <c r="L562" s="5">
        <v>12125</v>
      </c>
      <c r="M562" s="4">
        <v>0.91</v>
      </c>
      <c r="N562" s="2">
        <v>5</v>
      </c>
      <c r="O562" s="5">
        <v>0</v>
      </c>
      <c r="P562" s="5">
        <v>1041</v>
      </c>
      <c r="Q562" s="3">
        <v>46023</v>
      </c>
      <c r="R562" s="6">
        <f t="shared" si="21"/>
        <v>0</v>
      </c>
    </row>
    <row r="563" spans="1:18" x14ac:dyDescent="0.25">
      <c r="A563" s="2" t="s">
        <v>578</v>
      </c>
      <c r="B563" s="2" t="s">
        <v>1697</v>
      </c>
      <c r="C563" s="2" t="s">
        <v>1698</v>
      </c>
      <c r="D563" s="2" t="s">
        <v>1699</v>
      </c>
      <c r="E563" s="3">
        <v>45869</v>
      </c>
      <c r="F563" s="3">
        <v>46326</v>
      </c>
      <c r="G563" s="4">
        <v>0</v>
      </c>
      <c r="H563" s="10">
        <v>0.1075</v>
      </c>
      <c r="I563" s="10">
        <v>0.1026</v>
      </c>
      <c r="J563" s="5">
        <v>700326</v>
      </c>
      <c r="K563" s="5">
        <v>517500</v>
      </c>
      <c r="L563" s="5">
        <v>182826</v>
      </c>
      <c r="M563" s="4">
        <v>0.74</v>
      </c>
      <c r="N563" s="2">
        <v>1</v>
      </c>
      <c r="O563" s="5">
        <v>0</v>
      </c>
      <c r="P563" s="5">
        <v>4636</v>
      </c>
      <c r="Q563" s="3">
        <v>46023</v>
      </c>
      <c r="R563" s="6">
        <f t="shared" si="21"/>
        <v>0</v>
      </c>
    </row>
    <row r="564" spans="1:18" x14ac:dyDescent="0.25">
      <c r="A564" s="2" t="s">
        <v>578</v>
      </c>
      <c r="B564" s="2" t="s">
        <v>1700</v>
      </c>
      <c r="C564" s="2" t="s">
        <v>1701</v>
      </c>
      <c r="D564" s="2" t="s">
        <v>1702</v>
      </c>
      <c r="E564" s="3">
        <v>45870</v>
      </c>
      <c r="F564" s="3">
        <v>46235</v>
      </c>
      <c r="G564" s="4">
        <v>0</v>
      </c>
      <c r="H564" s="10">
        <v>0.105</v>
      </c>
      <c r="I564" s="10">
        <v>0.10249999999999999</v>
      </c>
      <c r="J564" s="5">
        <v>498100</v>
      </c>
      <c r="K564" s="5">
        <v>463300</v>
      </c>
      <c r="L564" s="5">
        <v>34800</v>
      </c>
      <c r="M564" s="4">
        <v>0.93</v>
      </c>
      <c r="N564" s="2">
        <v>2</v>
      </c>
      <c r="O564" s="5">
        <v>0</v>
      </c>
      <c r="P564" s="5">
        <v>4054</v>
      </c>
      <c r="Q564" s="3">
        <v>46023</v>
      </c>
      <c r="R564" s="6">
        <f t="shared" si="21"/>
        <v>0</v>
      </c>
    </row>
    <row r="565" spans="1:18" x14ac:dyDescent="0.25">
      <c r="A565" s="2" t="s">
        <v>578</v>
      </c>
      <c r="B565" s="2" t="s">
        <v>1703</v>
      </c>
      <c r="C565" s="2" t="s">
        <v>1704</v>
      </c>
      <c r="D565" s="2" t="s">
        <v>1705</v>
      </c>
      <c r="E565" s="3">
        <v>45870</v>
      </c>
      <c r="F565" s="3">
        <v>46235</v>
      </c>
      <c r="G565" s="4">
        <v>0</v>
      </c>
      <c r="H565" s="10">
        <v>0.105</v>
      </c>
      <c r="I565" s="10">
        <v>0.1021</v>
      </c>
      <c r="J565" s="5">
        <v>2870000</v>
      </c>
      <c r="K565" s="5">
        <v>2870000</v>
      </c>
      <c r="L565" s="5">
        <v>0</v>
      </c>
      <c r="M565" s="4">
        <v>1</v>
      </c>
      <c r="N565" s="2">
        <v>1</v>
      </c>
      <c r="O565" s="5">
        <v>0</v>
      </c>
      <c r="P565" s="5">
        <v>25112</v>
      </c>
      <c r="Q565" s="3">
        <v>46054</v>
      </c>
      <c r="R565" s="6">
        <f t="shared" si="21"/>
        <v>0</v>
      </c>
    </row>
    <row r="566" spans="1:18" x14ac:dyDescent="0.25">
      <c r="A566" s="2" t="s">
        <v>578</v>
      </c>
      <c r="B566" s="2" t="s">
        <v>1706</v>
      </c>
      <c r="C566" s="2" t="s">
        <v>1707</v>
      </c>
      <c r="D566" s="2" t="s">
        <v>1708</v>
      </c>
      <c r="E566" s="3">
        <v>45873</v>
      </c>
      <c r="F566" s="3">
        <v>46238</v>
      </c>
      <c r="G566" s="4">
        <v>0</v>
      </c>
      <c r="H566" s="10">
        <v>0.1075</v>
      </c>
      <c r="I566" s="10">
        <v>0.1026</v>
      </c>
      <c r="J566" s="5">
        <v>464000</v>
      </c>
      <c r="K566" s="5">
        <v>405000</v>
      </c>
      <c r="L566" s="5">
        <v>59000</v>
      </c>
      <c r="M566" s="4">
        <v>0.87</v>
      </c>
      <c r="N566" s="2">
        <v>1</v>
      </c>
      <c r="O566" s="5">
        <v>0</v>
      </c>
      <c r="P566" s="5">
        <v>3628</v>
      </c>
      <c r="Q566" s="3">
        <v>46023</v>
      </c>
      <c r="R566" s="6">
        <f t="shared" si="21"/>
        <v>0</v>
      </c>
    </row>
    <row r="567" spans="1:18" x14ac:dyDescent="0.25">
      <c r="A567" s="2" t="s">
        <v>578</v>
      </c>
      <c r="B567" s="2" t="s">
        <v>1709</v>
      </c>
      <c r="C567" s="2" t="s">
        <v>1710</v>
      </c>
      <c r="D567" s="2" t="s">
        <v>1711</v>
      </c>
      <c r="E567" s="3">
        <v>45874</v>
      </c>
      <c r="F567" s="3">
        <v>46239</v>
      </c>
      <c r="G567" s="4">
        <v>0</v>
      </c>
      <c r="H567" s="10">
        <v>0.1125</v>
      </c>
      <c r="I567" s="10">
        <v>0.1036</v>
      </c>
      <c r="J567" s="5">
        <v>63000</v>
      </c>
      <c r="K567" s="5">
        <v>39107</v>
      </c>
      <c r="L567" s="5">
        <v>23893</v>
      </c>
      <c r="M567" s="4">
        <v>0.62</v>
      </c>
      <c r="N567" s="2">
        <v>2</v>
      </c>
      <c r="O567" s="5">
        <v>0</v>
      </c>
      <c r="P567" s="5">
        <v>591</v>
      </c>
      <c r="Q567" s="3">
        <v>46023</v>
      </c>
      <c r="R567" s="6">
        <f t="shared" si="21"/>
        <v>0</v>
      </c>
    </row>
    <row r="568" spans="1:18" x14ac:dyDescent="0.25">
      <c r="A568" s="2" t="s">
        <v>578</v>
      </c>
      <c r="B568" s="2" t="s">
        <v>1712</v>
      </c>
      <c r="C568" s="2" t="s">
        <v>1713</v>
      </c>
      <c r="D568" s="2" t="s">
        <v>1714</v>
      </c>
      <c r="E568" s="3">
        <v>45874</v>
      </c>
      <c r="F568" s="3">
        <v>46239</v>
      </c>
      <c r="G568" s="4">
        <v>0</v>
      </c>
      <c r="H568" s="10">
        <v>0.11</v>
      </c>
      <c r="I568" s="10">
        <v>0.1031</v>
      </c>
      <c r="J568" s="5">
        <v>374500</v>
      </c>
      <c r="K568" s="5">
        <v>374500</v>
      </c>
      <c r="L568" s="5">
        <v>0</v>
      </c>
      <c r="M568" s="4">
        <v>1</v>
      </c>
      <c r="N568" s="2">
        <v>2</v>
      </c>
      <c r="O568" s="5">
        <v>0</v>
      </c>
      <c r="P568" s="5">
        <v>3433</v>
      </c>
      <c r="Q568" s="3">
        <v>46023</v>
      </c>
      <c r="R568" s="6">
        <f t="shared" si="21"/>
        <v>0</v>
      </c>
    </row>
    <row r="569" spans="1:18" x14ac:dyDescent="0.25">
      <c r="A569" s="2" t="s">
        <v>578</v>
      </c>
      <c r="B569" s="2" t="s">
        <v>1715</v>
      </c>
      <c r="C569" s="2" t="s">
        <v>1716</v>
      </c>
      <c r="D569" s="2" t="s">
        <v>1717</v>
      </c>
      <c r="E569" s="3">
        <v>45874</v>
      </c>
      <c r="F569" s="3">
        <v>46239</v>
      </c>
      <c r="G569" s="4">
        <v>0</v>
      </c>
      <c r="H569" s="10">
        <v>9.5000000000000001E-2</v>
      </c>
      <c r="I569" s="10">
        <v>9.4700000000000006E-2</v>
      </c>
      <c r="J569" s="5">
        <v>851500</v>
      </c>
      <c r="K569" s="5">
        <v>467500</v>
      </c>
      <c r="L569" s="5">
        <v>384000</v>
      </c>
      <c r="M569" s="4">
        <v>0.55000000000000004</v>
      </c>
      <c r="N569" s="2">
        <v>1</v>
      </c>
      <c r="O569" s="5">
        <v>0</v>
      </c>
      <c r="P569" s="5">
        <v>3701</v>
      </c>
      <c r="Q569" s="3">
        <v>46023</v>
      </c>
      <c r="R569" s="6">
        <f t="shared" si="21"/>
        <v>0</v>
      </c>
    </row>
    <row r="570" spans="1:18" x14ac:dyDescent="0.25">
      <c r="A570" s="2" t="s">
        <v>578</v>
      </c>
      <c r="B570" s="2" t="s">
        <v>1718</v>
      </c>
      <c r="C570" s="2" t="s">
        <v>1719</v>
      </c>
      <c r="D570" s="2" t="s">
        <v>1720</v>
      </c>
      <c r="E570" s="3">
        <v>45874</v>
      </c>
      <c r="F570" s="3">
        <v>46239</v>
      </c>
      <c r="G570" s="4">
        <v>0</v>
      </c>
      <c r="H570" s="10">
        <v>0.11</v>
      </c>
      <c r="I570" s="10">
        <v>0.1031</v>
      </c>
      <c r="J570" s="5">
        <v>455550</v>
      </c>
      <c r="K570" s="5">
        <v>340000</v>
      </c>
      <c r="L570" s="5">
        <v>115550</v>
      </c>
      <c r="M570" s="4">
        <v>0.75</v>
      </c>
      <c r="N570" s="2">
        <v>1</v>
      </c>
      <c r="O570" s="5">
        <v>0</v>
      </c>
      <c r="P570" s="5">
        <v>3117</v>
      </c>
      <c r="Q570" s="3">
        <v>46023</v>
      </c>
      <c r="R570" s="6">
        <f t="shared" si="21"/>
        <v>0</v>
      </c>
    </row>
    <row r="571" spans="1:18" x14ac:dyDescent="0.25">
      <c r="A571" s="2" t="s">
        <v>578</v>
      </c>
      <c r="B571" s="2" t="s">
        <v>1721</v>
      </c>
      <c r="C571" s="2" t="s">
        <v>1722</v>
      </c>
      <c r="D571" s="2" t="s">
        <v>1723</v>
      </c>
      <c r="E571" s="3">
        <v>45875</v>
      </c>
      <c r="F571" s="3">
        <v>46240</v>
      </c>
      <c r="G571" s="4">
        <v>0</v>
      </c>
      <c r="H571" s="10">
        <v>0.1075</v>
      </c>
      <c r="I571" s="10">
        <v>0.1026</v>
      </c>
      <c r="J571" s="5">
        <v>307600</v>
      </c>
      <c r="K571" s="5">
        <v>252000</v>
      </c>
      <c r="L571" s="5">
        <v>55600</v>
      </c>
      <c r="M571" s="4">
        <v>0.82</v>
      </c>
      <c r="N571" s="2">
        <v>1</v>
      </c>
      <c r="O571" s="5">
        <v>0</v>
      </c>
      <c r="P571" s="5">
        <v>2258</v>
      </c>
      <c r="Q571" s="3">
        <v>46023</v>
      </c>
      <c r="R571" s="6">
        <f t="shared" si="21"/>
        <v>0</v>
      </c>
    </row>
    <row r="572" spans="1:18" x14ac:dyDescent="0.25">
      <c r="A572" s="2" t="s">
        <v>578</v>
      </c>
      <c r="B572" s="2" t="s">
        <v>1724</v>
      </c>
      <c r="C572" s="2" t="s">
        <v>1725</v>
      </c>
      <c r="D572" s="2" t="s">
        <v>1726</v>
      </c>
      <c r="E572" s="3">
        <v>45875</v>
      </c>
      <c r="F572" s="3">
        <v>46240</v>
      </c>
      <c r="G572" s="4">
        <v>0</v>
      </c>
      <c r="H572" s="10">
        <v>0.10249999999999999</v>
      </c>
      <c r="I572" s="10">
        <v>0.1012</v>
      </c>
      <c r="J572" s="5">
        <v>1035000</v>
      </c>
      <c r="K572" s="5">
        <v>1035000</v>
      </c>
      <c r="L572" s="5">
        <v>0</v>
      </c>
      <c r="M572" s="4">
        <v>1</v>
      </c>
      <c r="N572" s="2">
        <v>1</v>
      </c>
      <c r="O572" s="5">
        <v>295</v>
      </c>
      <c r="P572" s="5">
        <v>8841</v>
      </c>
      <c r="Q572" s="3">
        <v>46023</v>
      </c>
      <c r="R572" s="6">
        <f t="shared" si="21"/>
        <v>0</v>
      </c>
    </row>
    <row r="573" spans="1:18" x14ac:dyDescent="0.25">
      <c r="A573" s="2" t="s">
        <v>578</v>
      </c>
      <c r="B573" s="2" t="s">
        <v>1727</v>
      </c>
      <c r="C573" s="2" t="s">
        <v>1728</v>
      </c>
      <c r="D573" s="2" t="s">
        <v>1729</v>
      </c>
      <c r="E573" s="3">
        <v>45876</v>
      </c>
      <c r="F573" s="3">
        <v>46241</v>
      </c>
      <c r="G573" s="4">
        <v>0</v>
      </c>
      <c r="H573" s="10">
        <v>0.11</v>
      </c>
      <c r="I573" s="10">
        <v>0.1031</v>
      </c>
      <c r="J573" s="5">
        <v>89300</v>
      </c>
      <c r="K573" s="5">
        <v>89300</v>
      </c>
      <c r="L573" s="5">
        <v>0</v>
      </c>
      <c r="M573" s="4">
        <v>1</v>
      </c>
      <c r="N573" s="2">
        <v>2</v>
      </c>
      <c r="O573" s="5">
        <v>0</v>
      </c>
      <c r="P573" s="5">
        <v>819</v>
      </c>
      <c r="Q573" s="3">
        <v>46023</v>
      </c>
      <c r="R573" s="6">
        <f t="shared" si="21"/>
        <v>0</v>
      </c>
    </row>
    <row r="574" spans="1:18" x14ac:dyDescent="0.25">
      <c r="A574" s="2" t="s">
        <v>578</v>
      </c>
      <c r="B574" s="2" t="s">
        <v>1730</v>
      </c>
      <c r="C574" s="2" t="s">
        <v>1731</v>
      </c>
      <c r="D574" s="2" t="s">
        <v>1732</v>
      </c>
      <c r="E574" s="3">
        <v>45876</v>
      </c>
      <c r="F574" s="3">
        <v>46241</v>
      </c>
      <c r="G574" s="4">
        <v>0</v>
      </c>
      <c r="H574" s="10">
        <v>0.10249999999999999</v>
      </c>
      <c r="I574" s="10">
        <v>0.1012</v>
      </c>
      <c r="J574" s="5">
        <v>180250</v>
      </c>
      <c r="K574" s="5">
        <v>180250</v>
      </c>
      <c r="L574" s="5">
        <v>0</v>
      </c>
      <c r="M574" s="4">
        <v>1</v>
      </c>
      <c r="N574" s="2">
        <v>6</v>
      </c>
      <c r="O574" s="5">
        <v>0</v>
      </c>
      <c r="P574" s="5">
        <v>1402</v>
      </c>
      <c r="Q574" s="3">
        <v>46023</v>
      </c>
      <c r="R574" s="6">
        <f t="shared" si="21"/>
        <v>0</v>
      </c>
    </row>
    <row r="575" spans="1:18" x14ac:dyDescent="0.25">
      <c r="A575" s="2" t="s">
        <v>578</v>
      </c>
      <c r="B575" s="2" t="s">
        <v>1733</v>
      </c>
      <c r="C575" s="2" t="s">
        <v>1734</v>
      </c>
      <c r="D575" s="2" t="s">
        <v>1735</v>
      </c>
      <c r="E575" s="3">
        <v>45877</v>
      </c>
      <c r="F575" s="3">
        <v>46242</v>
      </c>
      <c r="G575" s="4">
        <v>0</v>
      </c>
      <c r="H575" s="10">
        <v>0.105</v>
      </c>
      <c r="I575" s="10">
        <v>0.1021</v>
      </c>
      <c r="J575" s="5">
        <v>449040</v>
      </c>
      <c r="K575" s="5">
        <v>449040</v>
      </c>
      <c r="L575" s="5">
        <v>0</v>
      </c>
      <c r="M575" s="4">
        <v>1</v>
      </c>
      <c r="N575" s="2">
        <v>4</v>
      </c>
      <c r="O575" s="5">
        <v>0</v>
      </c>
      <c r="P575" s="5">
        <v>3709</v>
      </c>
      <c r="Q575" s="3">
        <v>46023</v>
      </c>
      <c r="R575" s="6">
        <f t="shared" si="21"/>
        <v>0</v>
      </c>
    </row>
    <row r="576" spans="1:18" x14ac:dyDescent="0.25">
      <c r="A576" s="2" t="s">
        <v>578</v>
      </c>
      <c r="B576" s="2" t="s">
        <v>1736</v>
      </c>
      <c r="C576" s="2" t="s">
        <v>1737</v>
      </c>
      <c r="D576" s="2" t="s">
        <v>1738</v>
      </c>
      <c r="E576" s="3">
        <v>45877</v>
      </c>
      <c r="F576" s="3">
        <v>46242</v>
      </c>
      <c r="G576" s="4">
        <v>0</v>
      </c>
      <c r="H576" s="10">
        <v>0.11</v>
      </c>
      <c r="I576" s="10">
        <v>0.1031</v>
      </c>
      <c r="J576" s="5">
        <v>704700</v>
      </c>
      <c r="K576" s="5">
        <v>704700</v>
      </c>
      <c r="L576" s="5">
        <v>0</v>
      </c>
      <c r="M576" s="4">
        <v>1</v>
      </c>
      <c r="N576" s="2">
        <v>1</v>
      </c>
      <c r="O576" s="5">
        <v>0</v>
      </c>
      <c r="P576" s="5">
        <v>6460</v>
      </c>
      <c r="Q576" s="3">
        <v>46023</v>
      </c>
      <c r="R576" s="6">
        <f t="shared" si="21"/>
        <v>0</v>
      </c>
    </row>
    <row r="577" spans="1:18" x14ac:dyDescent="0.25">
      <c r="A577" s="2" t="s">
        <v>578</v>
      </c>
      <c r="B577" s="2" t="s">
        <v>1739</v>
      </c>
      <c r="C577" s="2" t="s">
        <v>1740</v>
      </c>
      <c r="D577" s="2" t="s">
        <v>1741</v>
      </c>
      <c r="E577" s="3">
        <v>45880</v>
      </c>
      <c r="F577" s="3">
        <v>46429</v>
      </c>
      <c r="G577" s="4">
        <v>0</v>
      </c>
      <c r="H577" s="10">
        <v>0.1</v>
      </c>
      <c r="I577" s="10">
        <v>9.9000000000000005E-2</v>
      </c>
      <c r="J577" s="5">
        <v>889500</v>
      </c>
      <c r="K577" s="5">
        <v>484500</v>
      </c>
      <c r="L577" s="5">
        <v>405000</v>
      </c>
      <c r="M577" s="4">
        <v>0.54</v>
      </c>
      <c r="N577" s="2">
        <v>1</v>
      </c>
      <c r="O577" s="5">
        <v>0</v>
      </c>
      <c r="P577" s="5">
        <v>4038</v>
      </c>
      <c r="Q577" s="3">
        <v>46023</v>
      </c>
      <c r="R577" s="6">
        <f t="shared" si="21"/>
        <v>0</v>
      </c>
    </row>
    <row r="578" spans="1:18" x14ac:dyDescent="0.25">
      <c r="A578" s="2" t="s">
        <v>578</v>
      </c>
      <c r="B578" s="2" t="s">
        <v>1742</v>
      </c>
      <c r="C578" s="2" t="s">
        <v>1743</v>
      </c>
      <c r="D578" s="2" t="s">
        <v>1744</v>
      </c>
      <c r="E578" s="3">
        <v>45880</v>
      </c>
      <c r="F578" s="3">
        <v>46245</v>
      </c>
      <c r="G578" s="4">
        <v>0</v>
      </c>
      <c r="H578" s="10">
        <v>0.1075</v>
      </c>
      <c r="I578" s="10">
        <v>0.1037</v>
      </c>
      <c r="J578" s="5">
        <v>689000</v>
      </c>
      <c r="K578" s="5">
        <v>594000</v>
      </c>
      <c r="L578" s="5">
        <v>95000</v>
      </c>
      <c r="M578" s="4">
        <v>0.86</v>
      </c>
      <c r="N578" s="2">
        <v>1</v>
      </c>
      <c r="O578" s="5">
        <v>0</v>
      </c>
      <c r="P578" s="5">
        <v>5321</v>
      </c>
      <c r="Q578" s="3">
        <v>46023</v>
      </c>
      <c r="R578" s="6">
        <f t="shared" si="21"/>
        <v>0</v>
      </c>
    </row>
    <row r="579" spans="1:18" x14ac:dyDescent="0.25">
      <c r="A579" s="2" t="s">
        <v>578</v>
      </c>
      <c r="B579" s="2" t="s">
        <v>1745</v>
      </c>
      <c r="C579" s="2" t="s">
        <v>1746</v>
      </c>
      <c r="D579" s="2" t="s">
        <v>1747</v>
      </c>
      <c r="E579" s="3">
        <v>45881</v>
      </c>
      <c r="F579" s="3">
        <v>46246</v>
      </c>
      <c r="G579" s="4">
        <v>0</v>
      </c>
      <c r="H579" s="10">
        <v>0.105</v>
      </c>
      <c r="I579" s="10">
        <v>0.1021</v>
      </c>
      <c r="J579" s="5">
        <v>463500</v>
      </c>
      <c r="K579" s="5">
        <v>463500</v>
      </c>
      <c r="L579" s="5">
        <v>0</v>
      </c>
      <c r="M579" s="4">
        <v>1</v>
      </c>
      <c r="N579" s="2">
        <v>1</v>
      </c>
      <c r="O579" s="5">
        <v>0</v>
      </c>
      <c r="P579" s="5">
        <v>4056</v>
      </c>
      <c r="Q579" s="3">
        <v>46023</v>
      </c>
      <c r="R579" s="6">
        <f t="shared" si="21"/>
        <v>0</v>
      </c>
    </row>
    <row r="580" spans="1:18" x14ac:dyDescent="0.25">
      <c r="A580" s="2" t="s">
        <v>578</v>
      </c>
      <c r="B580" s="2" t="s">
        <v>1748</v>
      </c>
      <c r="C580" s="2" t="s">
        <v>1749</v>
      </c>
      <c r="D580" s="2" t="s">
        <v>1750</v>
      </c>
      <c r="E580" s="3">
        <v>45881</v>
      </c>
      <c r="F580" s="3">
        <v>46246</v>
      </c>
      <c r="G580" s="4">
        <v>0</v>
      </c>
      <c r="H580" s="10">
        <v>0.11</v>
      </c>
      <c r="I580" s="10">
        <v>0.1031</v>
      </c>
      <c r="J580" s="5">
        <v>68851</v>
      </c>
      <c r="K580" s="5">
        <v>26941</v>
      </c>
      <c r="L580" s="5">
        <v>41910</v>
      </c>
      <c r="M580" s="4">
        <v>0.39</v>
      </c>
      <c r="N580" s="2">
        <v>3</v>
      </c>
      <c r="O580" s="5">
        <v>0</v>
      </c>
      <c r="P580" s="5">
        <v>631</v>
      </c>
      <c r="Q580" s="3">
        <v>46023</v>
      </c>
      <c r="R580" s="6">
        <f t="shared" si="21"/>
        <v>0</v>
      </c>
    </row>
    <row r="581" spans="1:18" x14ac:dyDescent="0.25">
      <c r="A581" s="2" t="s">
        <v>578</v>
      </c>
      <c r="B581" s="2" t="s">
        <v>1751</v>
      </c>
      <c r="C581" s="2" t="s">
        <v>1752</v>
      </c>
      <c r="D581" s="2" t="s">
        <v>1753</v>
      </c>
      <c r="E581" s="3">
        <v>45881</v>
      </c>
      <c r="F581" s="3">
        <v>46430</v>
      </c>
      <c r="G581" s="4">
        <v>0</v>
      </c>
      <c r="H581" s="10">
        <v>9.9900000000000003E-2</v>
      </c>
      <c r="I581" s="10">
        <v>9.9199999999999997E-2</v>
      </c>
      <c r="J581" s="5">
        <v>388800</v>
      </c>
      <c r="K581" s="5">
        <v>388800</v>
      </c>
      <c r="L581" s="5">
        <v>0</v>
      </c>
      <c r="M581" s="4">
        <v>1</v>
      </c>
      <c r="N581" s="2">
        <v>1</v>
      </c>
      <c r="O581" s="5">
        <v>0</v>
      </c>
      <c r="P581" s="5">
        <v>3237</v>
      </c>
      <c r="Q581" s="3">
        <v>46023</v>
      </c>
      <c r="R581" s="6">
        <f t="shared" si="21"/>
        <v>0</v>
      </c>
    </row>
    <row r="582" spans="1:18" x14ac:dyDescent="0.25">
      <c r="A582" s="2" t="s">
        <v>578</v>
      </c>
      <c r="B582" s="2" t="s">
        <v>1754</v>
      </c>
      <c r="C582" s="2" t="s">
        <v>1755</v>
      </c>
      <c r="D582" s="2" t="s">
        <v>1756</v>
      </c>
      <c r="E582" s="3">
        <v>45882</v>
      </c>
      <c r="F582" s="3">
        <v>46247</v>
      </c>
      <c r="G582" s="4">
        <v>0</v>
      </c>
      <c r="H582" s="10">
        <v>0.105</v>
      </c>
      <c r="I582" s="10">
        <v>0.1021</v>
      </c>
      <c r="J582" s="5">
        <v>574000</v>
      </c>
      <c r="K582" s="5">
        <v>574000</v>
      </c>
      <c r="L582" s="5">
        <v>0</v>
      </c>
      <c r="M582" s="4">
        <v>1</v>
      </c>
      <c r="N582" s="2">
        <v>3</v>
      </c>
      <c r="O582" s="5">
        <v>0</v>
      </c>
      <c r="P582" s="5">
        <v>4770</v>
      </c>
      <c r="Q582" s="3">
        <v>46023</v>
      </c>
      <c r="R582" s="6">
        <f t="shared" si="21"/>
        <v>0</v>
      </c>
    </row>
    <row r="583" spans="1:18" x14ac:dyDescent="0.25">
      <c r="A583" s="2" t="s">
        <v>578</v>
      </c>
      <c r="B583" s="2" t="s">
        <v>1757</v>
      </c>
      <c r="C583" s="2" t="s">
        <v>1758</v>
      </c>
      <c r="D583" s="2" t="s">
        <v>1759</v>
      </c>
      <c r="E583" s="3">
        <v>45882</v>
      </c>
      <c r="F583" s="3">
        <v>46247</v>
      </c>
      <c r="G583" s="4">
        <v>0</v>
      </c>
      <c r="H583" s="10">
        <v>0.105</v>
      </c>
      <c r="I583" s="10">
        <v>0.1013</v>
      </c>
      <c r="J583" s="5">
        <v>301500</v>
      </c>
      <c r="K583" s="5">
        <v>301500</v>
      </c>
      <c r="L583" s="5">
        <v>0</v>
      </c>
      <c r="M583" s="4">
        <v>1</v>
      </c>
      <c r="N583" s="2">
        <v>1</v>
      </c>
      <c r="O583" s="5">
        <v>0</v>
      </c>
      <c r="P583" s="5">
        <v>2638</v>
      </c>
      <c r="Q583" s="3">
        <v>46023</v>
      </c>
      <c r="R583" s="6">
        <f t="shared" si="21"/>
        <v>0</v>
      </c>
    </row>
    <row r="584" spans="1:18" x14ac:dyDescent="0.25">
      <c r="A584" s="2" t="s">
        <v>578</v>
      </c>
      <c r="B584" s="2" t="s">
        <v>1760</v>
      </c>
      <c r="C584" s="2" t="s">
        <v>1761</v>
      </c>
      <c r="D584" s="2" t="s">
        <v>1762</v>
      </c>
      <c r="E584" s="3">
        <v>45882</v>
      </c>
      <c r="F584" s="3">
        <v>46247</v>
      </c>
      <c r="G584" s="4">
        <v>0</v>
      </c>
      <c r="H584" s="10">
        <v>0.11</v>
      </c>
      <c r="I584" s="10">
        <v>0.1031</v>
      </c>
      <c r="J584" s="5">
        <v>184590</v>
      </c>
      <c r="K584" s="5">
        <v>128049</v>
      </c>
      <c r="L584" s="5">
        <v>56541</v>
      </c>
      <c r="M584" s="4">
        <v>0.69</v>
      </c>
      <c r="N584" s="2">
        <v>2</v>
      </c>
      <c r="O584" s="5">
        <v>0</v>
      </c>
      <c r="P584" s="5">
        <v>1692</v>
      </c>
      <c r="Q584" s="3">
        <v>46023</v>
      </c>
      <c r="R584" s="6">
        <f t="shared" si="21"/>
        <v>0</v>
      </c>
    </row>
    <row r="585" spans="1:18" x14ac:dyDescent="0.25">
      <c r="A585" s="2" t="s">
        <v>578</v>
      </c>
      <c r="B585" s="2" t="s">
        <v>1763</v>
      </c>
      <c r="C585" s="2" t="s">
        <v>1764</v>
      </c>
      <c r="D585" s="2" t="s">
        <v>1765</v>
      </c>
      <c r="E585" s="3">
        <v>45884</v>
      </c>
      <c r="F585" s="3">
        <v>46341</v>
      </c>
      <c r="G585" s="4">
        <v>0</v>
      </c>
      <c r="H585" s="10">
        <v>0.1099</v>
      </c>
      <c r="I585" s="10">
        <v>0.1031</v>
      </c>
      <c r="J585" s="5">
        <v>187170</v>
      </c>
      <c r="K585" s="5">
        <v>104620</v>
      </c>
      <c r="L585" s="5">
        <v>82550</v>
      </c>
      <c r="M585" s="4">
        <v>0.56000000000000005</v>
      </c>
      <c r="N585" s="2">
        <v>3</v>
      </c>
      <c r="O585" s="5">
        <v>0</v>
      </c>
      <c r="P585" s="5">
        <v>915</v>
      </c>
      <c r="Q585" s="3">
        <v>46023</v>
      </c>
      <c r="R585" s="6">
        <f t="shared" si="21"/>
        <v>0</v>
      </c>
    </row>
    <row r="586" spans="1:18" x14ac:dyDescent="0.25">
      <c r="A586" s="2" t="s">
        <v>578</v>
      </c>
      <c r="B586" s="2" t="s">
        <v>1766</v>
      </c>
      <c r="C586" s="2" t="s">
        <v>1767</v>
      </c>
      <c r="D586" s="2" t="s">
        <v>1768</v>
      </c>
      <c r="E586" s="3">
        <v>45884</v>
      </c>
      <c r="F586" s="3">
        <v>46249</v>
      </c>
      <c r="G586" s="4">
        <v>0</v>
      </c>
      <c r="H586" s="10">
        <v>0.1075</v>
      </c>
      <c r="I586" s="10">
        <v>0.1026</v>
      </c>
      <c r="J586" s="5">
        <v>129000</v>
      </c>
      <c r="K586" s="5">
        <v>90000</v>
      </c>
      <c r="L586" s="5">
        <v>39000</v>
      </c>
      <c r="M586" s="4">
        <v>0.7</v>
      </c>
      <c r="N586" s="2">
        <v>1</v>
      </c>
      <c r="O586" s="5">
        <v>0</v>
      </c>
      <c r="P586" s="5">
        <v>806</v>
      </c>
      <c r="Q586" s="3">
        <v>46023</v>
      </c>
      <c r="R586" s="6">
        <f t="shared" si="21"/>
        <v>0</v>
      </c>
    </row>
    <row r="587" spans="1:18" x14ac:dyDescent="0.25">
      <c r="A587" s="2" t="s">
        <v>578</v>
      </c>
      <c r="B587" s="2" t="s">
        <v>1769</v>
      </c>
      <c r="C587" s="2" t="s">
        <v>1770</v>
      </c>
      <c r="D587" s="2" t="s">
        <v>1771</v>
      </c>
      <c r="E587" s="3">
        <v>45884</v>
      </c>
      <c r="F587" s="3">
        <v>46249</v>
      </c>
      <c r="G587" s="4">
        <v>0</v>
      </c>
      <c r="H587" s="10">
        <v>0.1075</v>
      </c>
      <c r="I587" s="10">
        <v>0.1026</v>
      </c>
      <c r="J587" s="5">
        <v>168600</v>
      </c>
      <c r="K587" s="5">
        <v>168600</v>
      </c>
      <c r="L587" s="5">
        <v>0</v>
      </c>
      <c r="M587" s="4">
        <v>1</v>
      </c>
      <c r="N587" s="2">
        <v>2</v>
      </c>
      <c r="O587" s="5">
        <v>0</v>
      </c>
      <c r="P587" s="5">
        <v>1510</v>
      </c>
      <c r="Q587" s="3">
        <v>46023</v>
      </c>
      <c r="R587" s="6">
        <f t="shared" si="21"/>
        <v>0</v>
      </c>
    </row>
    <row r="588" spans="1:18" x14ac:dyDescent="0.25">
      <c r="A588" s="2" t="s">
        <v>578</v>
      </c>
      <c r="B588" s="2" t="s">
        <v>1772</v>
      </c>
      <c r="C588" s="2" t="s">
        <v>1773</v>
      </c>
      <c r="D588" s="2" t="s">
        <v>1774</v>
      </c>
      <c r="E588" s="3">
        <v>45887</v>
      </c>
      <c r="F588" s="3">
        <v>46252</v>
      </c>
      <c r="G588" s="4">
        <v>0</v>
      </c>
      <c r="H588" s="10">
        <v>9.7500000000000003E-2</v>
      </c>
      <c r="I588" s="10">
        <v>9.6000000000000002E-2</v>
      </c>
      <c r="J588" s="5">
        <v>540000</v>
      </c>
      <c r="K588" s="5">
        <v>540000</v>
      </c>
      <c r="L588" s="5">
        <v>0</v>
      </c>
      <c r="M588" s="4">
        <v>1</v>
      </c>
      <c r="N588" s="2">
        <v>1</v>
      </c>
      <c r="O588" s="5">
        <v>0</v>
      </c>
      <c r="P588" s="5">
        <v>4388</v>
      </c>
      <c r="Q588" s="3">
        <v>46023</v>
      </c>
      <c r="R588" s="6">
        <f t="shared" si="21"/>
        <v>0</v>
      </c>
    </row>
    <row r="589" spans="1:18" x14ac:dyDescent="0.25">
      <c r="A589" s="2" t="s">
        <v>578</v>
      </c>
      <c r="B589" s="2" t="s">
        <v>1775</v>
      </c>
      <c r="C589" s="2" t="s">
        <v>1776</v>
      </c>
      <c r="D589" s="2" t="s">
        <v>1777</v>
      </c>
      <c r="E589" s="3">
        <v>45887</v>
      </c>
      <c r="F589" s="3">
        <v>46252</v>
      </c>
      <c r="G589" s="4">
        <v>0</v>
      </c>
      <c r="H589" s="10">
        <v>0.10249999999999999</v>
      </c>
      <c r="I589" s="10">
        <v>0.1012</v>
      </c>
      <c r="J589" s="5">
        <v>940500</v>
      </c>
      <c r="K589" s="5">
        <v>940500</v>
      </c>
      <c r="L589" s="5">
        <v>0</v>
      </c>
      <c r="M589" s="4">
        <v>1</v>
      </c>
      <c r="N589" s="2">
        <v>1</v>
      </c>
      <c r="O589" s="5">
        <v>0</v>
      </c>
      <c r="P589" s="5">
        <v>8033</v>
      </c>
      <c r="Q589" s="3">
        <v>46023</v>
      </c>
      <c r="R589" s="6">
        <f t="shared" si="21"/>
        <v>0</v>
      </c>
    </row>
    <row r="590" spans="1:18" x14ac:dyDescent="0.25">
      <c r="A590" s="2" t="s">
        <v>578</v>
      </c>
      <c r="B590" s="2" t="s">
        <v>1778</v>
      </c>
      <c r="C590" s="2" t="s">
        <v>1779</v>
      </c>
      <c r="D590" s="2" t="s">
        <v>1780</v>
      </c>
      <c r="E590" s="3">
        <v>45888</v>
      </c>
      <c r="F590" s="3">
        <v>46253</v>
      </c>
      <c r="G590" s="4">
        <v>0</v>
      </c>
      <c r="H590" s="10">
        <v>0.10249999999999999</v>
      </c>
      <c r="I590" s="10">
        <v>0.1012</v>
      </c>
      <c r="J590" s="5">
        <v>508500</v>
      </c>
      <c r="K590" s="5">
        <v>508500</v>
      </c>
      <c r="L590" s="5">
        <v>0</v>
      </c>
      <c r="M590" s="4">
        <v>1</v>
      </c>
      <c r="N590" s="2">
        <v>1</v>
      </c>
      <c r="O590" s="5">
        <v>0</v>
      </c>
      <c r="P590" s="5">
        <v>4343</v>
      </c>
      <c r="Q590" s="3">
        <v>46023</v>
      </c>
      <c r="R590" s="6">
        <f t="shared" si="21"/>
        <v>0</v>
      </c>
    </row>
    <row r="591" spans="1:18" x14ac:dyDescent="0.25">
      <c r="A591" s="2" t="s">
        <v>578</v>
      </c>
      <c r="B591" s="2" t="s">
        <v>1781</v>
      </c>
      <c r="C591" s="2" t="s">
        <v>1782</v>
      </c>
      <c r="D591" s="2" t="s">
        <v>1783</v>
      </c>
      <c r="E591" s="3">
        <v>45888</v>
      </c>
      <c r="F591" s="3">
        <v>46325</v>
      </c>
      <c r="G591" s="4">
        <v>0</v>
      </c>
      <c r="H591" s="10">
        <v>0.115</v>
      </c>
      <c r="I591" s="10">
        <v>0.1147</v>
      </c>
      <c r="J591" s="5">
        <v>510250</v>
      </c>
      <c r="K591" s="5">
        <v>184564</v>
      </c>
      <c r="L591" s="5">
        <v>325686</v>
      </c>
      <c r="M591" s="4">
        <v>0.36</v>
      </c>
      <c r="N591" s="2">
        <v>2</v>
      </c>
      <c r="O591" s="5">
        <v>0</v>
      </c>
      <c r="P591" s="5">
        <v>1769</v>
      </c>
      <c r="Q591" s="3">
        <v>46023</v>
      </c>
      <c r="R591" s="6">
        <f t="shared" si="21"/>
        <v>0</v>
      </c>
    </row>
    <row r="592" spans="1:18" x14ac:dyDescent="0.25">
      <c r="A592" s="2" t="s">
        <v>578</v>
      </c>
      <c r="B592" s="2" t="s">
        <v>1784</v>
      </c>
      <c r="C592" s="2" t="s">
        <v>1785</v>
      </c>
      <c r="D592" s="2" t="s">
        <v>1786</v>
      </c>
      <c r="E592" s="3">
        <v>45889</v>
      </c>
      <c r="F592" s="3">
        <v>46254</v>
      </c>
      <c r="G592" s="4">
        <v>0</v>
      </c>
      <c r="H592" s="10">
        <v>0.1125</v>
      </c>
      <c r="I592" s="10">
        <v>0.1062</v>
      </c>
      <c r="J592" s="5">
        <v>189550</v>
      </c>
      <c r="K592" s="5">
        <v>176975</v>
      </c>
      <c r="L592" s="5">
        <v>12575</v>
      </c>
      <c r="M592" s="4">
        <v>0.93</v>
      </c>
      <c r="N592" s="2">
        <v>2</v>
      </c>
      <c r="O592" s="5">
        <v>0</v>
      </c>
      <c r="P592" s="5">
        <v>1598</v>
      </c>
      <c r="Q592" s="3">
        <v>46023</v>
      </c>
      <c r="R592" s="6">
        <f t="shared" si="21"/>
        <v>0</v>
      </c>
    </row>
    <row r="593" spans="1:18" x14ac:dyDescent="0.25">
      <c r="A593" s="2" t="s">
        <v>578</v>
      </c>
      <c r="B593" s="2" t="s">
        <v>1787</v>
      </c>
      <c r="C593" s="2" t="s">
        <v>1788</v>
      </c>
      <c r="D593" s="2" t="s">
        <v>1789</v>
      </c>
      <c r="E593" s="3">
        <v>45890</v>
      </c>
      <c r="F593" s="3">
        <v>46347</v>
      </c>
      <c r="G593" s="4">
        <v>0</v>
      </c>
      <c r="H593" s="10">
        <v>0.105</v>
      </c>
      <c r="I593" s="10">
        <v>0.1021</v>
      </c>
      <c r="J593" s="5">
        <v>333000</v>
      </c>
      <c r="K593" s="5">
        <v>333000</v>
      </c>
      <c r="L593" s="5">
        <v>0</v>
      </c>
      <c r="M593" s="4">
        <v>1</v>
      </c>
      <c r="N593" s="2">
        <v>1</v>
      </c>
      <c r="O593" s="5">
        <v>0</v>
      </c>
      <c r="P593" s="5">
        <v>2914</v>
      </c>
      <c r="Q593" s="3">
        <v>46113</v>
      </c>
      <c r="R593" s="6">
        <f t="shared" si="21"/>
        <v>0</v>
      </c>
    </row>
    <row r="594" spans="1:18" x14ac:dyDescent="0.25">
      <c r="A594" s="2" t="s">
        <v>578</v>
      </c>
      <c r="B594" s="2" t="s">
        <v>1790</v>
      </c>
      <c r="C594" s="2" t="s">
        <v>1791</v>
      </c>
      <c r="D594" s="2" t="s">
        <v>1792</v>
      </c>
      <c r="E594" s="3">
        <v>45890</v>
      </c>
      <c r="F594" s="3">
        <v>46255</v>
      </c>
      <c r="G594" s="4">
        <v>0</v>
      </c>
      <c r="H594" s="10">
        <v>0.10249999999999999</v>
      </c>
      <c r="I594" s="10">
        <v>0.1012</v>
      </c>
      <c r="J594" s="5">
        <v>873729</v>
      </c>
      <c r="K594" s="5">
        <v>505750</v>
      </c>
      <c r="L594" s="5">
        <v>367979</v>
      </c>
      <c r="M594" s="4">
        <v>0.57999999999999996</v>
      </c>
      <c r="N594" s="2">
        <v>1</v>
      </c>
      <c r="O594" s="5">
        <v>0</v>
      </c>
      <c r="P594" s="5">
        <v>4320</v>
      </c>
      <c r="Q594" s="3">
        <v>46023</v>
      </c>
      <c r="R594" s="6">
        <f t="shared" si="21"/>
        <v>0</v>
      </c>
    </row>
    <row r="595" spans="1:18" x14ac:dyDescent="0.25">
      <c r="A595" s="2" t="s">
        <v>578</v>
      </c>
      <c r="B595" s="2" t="s">
        <v>1793</v>
      </c>
      <c r="C595" s="2" t="s">
        <v>1794</v>
      </c>
      <c r="D595" s="2" t="s">
        <v>1795</v>
      </c>
      <c r="E595" s="3">
        <v>45891</v>
      </c>
      <c r="F595" s="3">
        <v>46256</v>
      </c>
      <c r="G595" s="4">
        <v>0</v>
      </c>
      <c r="H595" s="10">
        <v>0.1075</v>
      </c>
      <c r="I595" s="10">
        <v>0.1026</v>
      </c>
      <c r="J595" s="5">
        <v>953750</v>
      </c>
      <c r="K595" s="5">
        <v>806862</v>
      </c>
      <c r="L595" s="5">
        <v>146888</v>
      </c>
      <c r="M595" s="4">
        <v>0.85</v>
      </c>
      <c r="N595" s="2">
        <v>2</v>
      </c>
      <c r="O595" s="5">
        <v>0</v>
      </c>
      <c r="P595" s="5">
        <v>7228</v>
      </c>
      <c r="Q595" s="3">
        <v>46054</v>
      </c>
      <c r="R595" s="6">
        <f t="shared" si="21"/>
        <v>0</v>
      </c>
    </row>
    <row r="596" spans="1:18" x14ac:dyDescent="0.25">
      <c r="A596" s="2" t="s">
        <v>578</v>
      </c>
      <c r="B596" s="2" t="s">
        <v>1796</v>
      </c>
      <c r="C596" s="2" t="s">
        <v>1797</v>
      </c>
      <c r="D596" s="2" t="s">
        <v>1798</v>
      </c>
      <c r="E596" s="3">
        <v>45894</v>
      </c>
      <c r="F596" s="3">
        <v>46259</v>
      </c>
      <c r="G596" s="4">
        <v>0</v>
      </c>
      <c r="H596" s="10">
        <v>0.1075</v>
      </c>
      <c r="I596" s="10">
        <v>0.1026</v>
      </c>
      <c r="J596" s="5">
        <v>195700</v>
      </c>
      <c r="K596" s="5">
        <v>195700</v>
      </c>
      <c r="L596" s="5">
        <v>0</v>
      </c>
      <c r="M596" s="4">
        <v>1</v>
      </c>
      <c r="N596" s="2">
        <v>2</v>
      </c>
      <c r="O596" s="5">
        <v>0</v>
      </c>
      <c r="P596" s="5">
        <v>1753</v>
      </c>
      <c r="Q596" s="3">
        <v>46023</v>
      </c>
      <c r="R596" s="6">
        <f t="shared" si="21"/>
        <v>0</v>
      </c>
    </row>
    <row r="597" spans="1:18" x14ac:dyDescent="0.25">
      <c r="A597" s="2" t="s">
        <v>578</v>
      </c>
      <c r="B597" s="2" t="s">
        <v>1799</v>
      </c>
      <c r="C597" s="2" t="s">
        <v>1800</v>
      </c>
      <c r="D597" s="2" t="s">
        <v>1801</v>
      </c>
      <c r="E597" s="3">
        <v>45894</v>
      </c>
      <c r="F597" s="3">
        <v>46351</v>
      </c>
      <c r="G597" s="4">
        <v>0</v>
      </c>
      <c r="H597" s="10">
        <v>0.1075</v>
      </c>
      <c r="I597" s="10">
        <v>0.1026</v>
      </c>
      <c r="J597" s="5">
        <v>424000</v>
      </c>
      <c r="K597" s="5">
        <v>424000</v>
      </c>
      <c r="L597" s="5">
        <v>0</v>
      </c>
      <c r="M597" s="4">
        <v>1</v>
      </c>
      <c r="N597" s="2">
        <v>1</v>
      </c>
      <c r="O597" s="5">
        <v>0</v>
      </c>
      <c r="P597" s="5">
        <v>3798</v>
      </c>
      <c r="Q597" s="3">
        <v>46023</v>
      </c>
      <c r="R597" s="6">
        <f t="shared" si="21"/>
        <v>0</v>
      </c>
    </row>
    <row r="598" spans="1:18" x14ac:dyDescent="0.25">
      <c r="A598" s="2" t="s">
        <v>578</v>
      </c>
      <c r="B598" s="2" t="s">
        <v>1802</v>
      </c>
      <c r="C598" s="2" t="s">
        <v>1803</v>
      </c>
      <c r="D598" s="2" t="s">
        <v>1804</v>
      </c>
      <c r="E598" s="3">
        <v>45895</v>
      </c>
      <c r="F598" s="3">
        <v>46260</v>
      </c>
      <c r="G598" s="4">
        <v>0</v>
      </c>
      <c r="H598" s="10">
        <v>0.11</v>
      </c>
      <c r="I598" s="10">
        <v>0.1031</v>
      </c>
      <c r="J598" s="5">
        <v>571300</v>
      </c>
      <c r="K598" s="5">
        <v>464110</v>
      </c>
      <c r="L598" s="5">
        <v>107190</v>
      </c>
      <c r="M598" s="4">
        <v>0.81</v>
      </c>
      <c r="N598" s="2">
        <v>16</v>
      </c>
      <c r="O598" s="5">
        <v>0</v>
      </c>
      <c r="P598" s="5">
        <v>3896</v>
      </c>
      <c r="Q598" s="3">
        <v>46023</v>
      </c>
      <c r="R598" s="6">
        <f t="shared" si="21"/>
        <v>0</v>
      </c>
    </row>
    <row r="599" spans="1:18" x14ac:dyDescent="0.25">
      <c r="A599" s="2" t="s">
        <v>578</v>
      </c>
      <c r="B599" s="2" t="s">
        <v>1805</v>
      </c>
      <c r="C599" s="2" t="s">
        <v>1806</v>
      </c>
      <c r="D599" s="2" t="s">
        <v>1807</v>
      </c>
      <c r="E599" s="3">
        <v>45895</v>
      </c>
      <c r="F599" s="3">
        <v>46260</v>
      </c>
      <c r="G599" s="4">
        <v>0</v>
      </c>
      <c r="H599" s="10">
        <v>0.10249999999999999</v>
      </c>
      <c r="I599" s="10">
        <v>0.1012</v>
      </c>
      <c r="J599" s="5">
        <v>463250</v>
      </c>
      <c r="K599" s="5">
        <v>463250</v>
      </c>
      <c r="L599" s="5">
        <v>0</v>
      </c>
      <c r="M599" s="4">
        <v>1</v>
      </c>
      <c r="N599" s="2">
        <v>1</v>
      </c>
      <c r="O599" s="5">
        <v>0</v>
      </c>
      <c r="P599" s="5">
        <v>3957</v>
      </c>
      <c r="Q599" s="3">
        <v>46023</v>
      </c>
      <c r="R599" s="6">
        <f t="shared" ref="R599:R645" si="22">G599*K599</f>
        <v>0</v>
      </c>
    </row>
    <row r="600" spans="1:18" x14ac:dyDescent="0.25">
      <c r="A600" s="2" t="s">
        <v>578</v>
      </c>
      <c r="B600" s="2" t="s">
        <v>1808</v>
      </c>
      <c r="C600" s="2" t="s">
        <v>1809</v>
      </c>
      <c r="D600" s="2" t="s">
        <v>1810</v>
      </c>
      <c r="E600" s="3">
        <v>45895</v>
      </c>
      <c r="F600" s="3">
        <v>46260</v>
      </c>
      <c r="G600" s="4">
        <v>0</v>
      </c>
      <c r="H600" s="10">
        <v>0.105</v>
      </c>
      <c r="I600" s="10">
        <v>0.1021</v>
      </c>
      <c r="J600" s="5">
        <v>835500</v>
      </c>
      <c r="K600" s="5">
        <v>835500</v>
      </c>
      <c r="L600" s="5">
        <v>0</v>
      </c>
      <c r="M600" s="4">
        <v>1</v>
      </c>
      <c r="N600" s="2">
        <v>5</v>
      </c>
      <c r="O600" s="5">
        <v>0</v>
      </c>
      <c r="P600" s="5">
        <v>7311</v>
      </c>
      <c r="Q600" s="3">
        <v>46054</v>
      </c>
      <c r="R600" s="6">
        <f t="shared" si="22"/>
        <v>0</v>
      </c>
    </row>
    <row r="601" spans="1:18" x14ac:dyDescent="0.25">
      <c r="A601" s="2" t="s">
        <v>578</v>
      </c>
      <c r="B601" s="2" t="s">
        <v>1811</v>
      </c>
      <c r="C601" s="2" t="s">
        <v>1812</v>
      </c>
      <c r="D601" s="2" t="s">
        <v>1813</v>
      </c>
      <c r="E601" s="3">
        <v>45895</v>
      </c>
      <c r="F601" s="3">
        <v>46260</v>
      </c>
      <c r="G601" s="4">
        <v>0</v>
      </c>
      <c r="H601" s="10">
        <v>0.125</v>
      </c>
      <c r="I601" s="10">
        <v>0.1232</v>
      </c>
      <c r="J601" s="5">
        <v>518000</v>
      </c>
      <c r="K601" s="5">
        <v>291662</v>
      </c>
      <c r="L601" s="5">
        <v>226338</v>
      </c>
      <c r="M601" s="4">
        <v>0.56000000000000005</v>
      </c>
      <c r="N601" s="2">
        <v>4</v>
      </c>
      <c r="O601" s="5">
        <v>0</v>
      </c>
      <c r="P601" s="5">
        <v>2367</v>
      </c>
      <c r="Q601" s="3">
        <v>46023</v>
      </c>
      <c r="R601" s="6">
        <f t="shared" si="22"/>
        <v>0</v>
      </c>
    </row>
    <row r="602" spans="1:18" x14ac:dyDescent="0.25">
      <c r="A602" s="2" t="s">
        <v>578</v>
      </c>
      <c r="B602" s="2" t="s">
        <v>1814</v>
      </c>
      <c r="C602" s="2" t="s">
        <v>1815</v>
      </c>
      <c r="D602" s="2" t="s">
        <v>1816</v>
      </c>
      <c r="E602" s="3">
        <v>45895</v>
      </c>
      <c r="F602" s="3">
        <v>46260</v>
      </c>
      <c r="G602" s="4">
        <v>0</v>
      </c>
      <c r="H602" s="10">
        <v>0.11</v>
      </c>
      <c r="I602" s="10">
        <v>0.1031</v>
      </c>
      <c r="J602" s="5">
        <v>415680</v>
      </c>
      <c r="K602" s="5">
        <v>255659</v>
      </c>
      <c r="L602" s="5">
        <v>160021</v>
      </c>
      <c r="M602" s="4">
        <v>0.62</v>
      </c>
      <c r="N602" s="2">
        <v>8</v>
      </c>
      <c r="O602" s="5">
        <v>0</v>
      </c>
      <c r="P602" s="5">
        <v>2344</v>
      </c>
      <c r="Q602" s="3">
        <v>46023</v>
      </c>
      <c r="R602" s="6">
        <f t="shared" si="22"/>
        <v>0</v>
      </c>
    </row>
    <row r="603" spans="1:18" x14ac:dyDescent="0.25">
      <c r="A603" s="2" t="s">
        <v>578</v>
      </c>
      <c r="B603" s="2" t="s">
        <v>1817</v>
      </c>
      <c r="C603" s="2" t="s">
        <v>1818</v>
      </c>
      <c r="D603" s="2" t="s">
        <v>1819</v>
      </c>
      <c r="E603" s="3">
        <v>45895</v>
      </c>
      <c r="F603" s="3">
        <v>46260</v>
      </c>
      <c r="G603" s="4">
        <v>0</v>
      </c>
      <c r="H603" s="10">
        <v>0.105</v>
      </c>
      <c r="I603" s="10">
        <v>0.10249999999999999</v>
      </c>
      <c r="J603" s="5">
        <v>170000</v>
      </c>
      <c r="K603" s="5">
        <v>170000</v>
      </c>
      <c r="L603" s="5">
        <v>0</v>
      </c>
      <c r="M603" s="4">
        <v>1</v>
      </c>
      <c r="N603" s="2">
        <v>1</v>
      </c>
      <c r="O603" s="5">
        <v>0</v>
      </c>
      <c r="P603" s="5">
        <v>1488</v>
      </c>
      <c r="Q603" s="3">
        <v>46023</v>
      </c>
      <c r="R603" s="6">
        <f t="shared" si="22"/>
        <v>0</v>
      </c>
    </row>
    <row r="604" spans="1:18" x14ac:dyDescent="0.25">
      <c r="A604" s="2" t="s">
        <v>578</v>
      </c>
      <c r="B604" s="2" t="s">
        <v>1820</v>
      </c>
      <c r="C604" s="2" t="s">
        <v>1821</v>
      </c>
      <c r="D604" s="2" t="s">
        <v>1822</v>
      </c>
      <c r="E604" s="3">
        <v>45895</v>
      </c>
      <c r="F604" s="3">
        <v>46260</v>
      </c>
      <c r="G604" s="4">
        <v>0</v>
      </c>
      <c r="H604" s="10">
        <v>0.105</v>
      </c>
      <c r="I604" s="10">
        <v>0.1021</v>
      </c>
      <c r="J604" s="5">
        <v>347500</v>
      </c>
      <c r="K604" s="5">
        <v>312000</v>
      </c>
      <c r="L604" s="5">
        <v>35500</v>
      </c>
      <c r="M604" s="4">
        <v>0.9</v>
      </c>
      <c r="N604" s="2">
        <v>1</v>
      </c>
      <c r="O604" s="5">
        <v>0</v>
      </c>
      <c r="P604" s="5">
        <v>2730</v>
      </c>
      <c r="Q604" s="3">
        <v>46023</v>
      </c>
      <c r="R604" s="6">
        <f t="shared" si="22"/>
        <v>0</v>
      </c>
    </row>
    <row r="605" spans="1:18" x14ac:dyDescent="0.25">
      <c r="A605" s="2" t="s">
        <v>578</v>
      </c>
      <c r="B605" s="2" t="s">
        <v>1823</v>
      </c>
      <c r="C605" s="2" t="s">
        <v>1824</v>
      </c>
      <c r="D605" s="2" t="s">
        <v>1825</v>
      </c>
      <c r="E605" s="3">
        <v>45896</v>
      </c>
      <c r="F605" s="3">
        <v>46261</v>
      </c>
      <c r="G605" s="4">
        <v>0</v>
      </c>
      <c r="H605" s="10">
        <v>0.10249999999999999</v>
      </c>
      <c r="I605" s="10">
        <v>0.1012</v>
      </c>
      <c r="J605" s="5">
        <v>463500</v>
      </c>
      <c r="K605" s="5">
        <v>463500</v>
      </c>
      <c r="L605" s="5">
        <v>0</v>
      </c>
      <c r="M605" s="4">
        <v>1</v>
      </c>
      <c r="N605" s="2">
        <v>1</v>
      </c>
      <c r="O605" s="5">
        <v>0</v>
      </c>
      <c r="P605" s="5">
        <v>3959</v>
      </c>
      <c r="Q605" s="3">
        <v>46023</v>
      </c>
      <c r="R605" s="6">
        <f t="shared" si="22"/>
        <v>0</v>
      </c>
    </row>
    <row r="606" spans="1:18" x14ac:dyDescent="0.25">
      <c r="A606" s="2" t="s">
        <v>578</v>
      </c>
      <c r="B606" s="2" t="s">
        <v>1826</v>
      </c>
      <c r="C606" s="2" t="s">
        <v>1827</v>
      </c>
      <c r="D606" s="2" t="s">
        <v>1828</v>
      </c>
      <c r="E606" s="3">
        <v>45897</v>
      </c>
      <c r="F606" s="3">
        <v>46262</v>
      </c>
      <c r="G606" s="4">
        <v>0</v>
      </c>
      <c r="H606" s="10">
        <v>0.1075</v>
      </c>
      <c r="I606" s="10">
        <v>0.1026</v>
      </c>
      <c r="J606" s="5">
        <v>558950</v>
      </c>
      <c r="K606" s="5">
        <v>558950</v>
      </c>
      <c r="L606" s="5">
        <v>0</v>
      </c>
      <c r="M606" s="4">
        <v>1</v>
      </c>
      <c r="N606" s="2">
        <v>7</v>
      </c>
      <c r="O606" s="5">
        <v>0</v>
      </c>
      <c r="P606" s="5">
        <v>4980</v>
      </c>
      <c r="Q606" s="3">
        <v>46054</v>
      </c>
      <c r="R606" s="6">
        <f t="shared" si="22"/>
        <v>0</v>
      </c>
    </row>
    <row r="607" spans="1:18" x14ac:dyDescent="0.25">
      <c r="A607" s="2" t="s">
        <v>578</v>
      </c>
      <c r="B607" s="2" t="s">
        <v>1829</v>
      </c>
      <c r="C607" s="2" t="s">
        <v>1830</v>
      </c>
      <c r="D607" s="2" t="s">
        <v>1831</v>
      </c>
      <c r="E607" s="3">
        <v>45897</v>
      </c>
      <c r="F607" s="3">
        <v>46262</v>
      </c>
      <c r="G607" s="4">
        <v>0</v>
      </c>
      <c r="H607" s="10">
        <v>0.1075</v>
      </c>
      <c r="I607" s="10">
        <v>0.1026</v>
      </c>
      <c r="J607" s="5">
        <v>110000</v>
      </c>
      <c r="K607" s="5">
        <v>68500</v>
      </c>
      <c r="L607" s="5">
        <v>41500</v>
      </c>
      <c r="M607" s="4">
        <v>0.62</v>
      </c>
      <c r="N607" s="2">
        <v>2</v>
      </c>
      <c r="O607" s="5">
        <v>0</v>
      </c>
      <c r="P607" s="5">
        <v>614</v>
      </c>
      <c r="Q607" s="3">
        <v>46023</v>
      </c>
      <c r="R607" s="6">
        <f t="shared" si="22"/>
        <v>0</v>
      </c>
    </row>
    <row r="608" spans="1:18" x14ac:dyDescent="0.25">
      <c r="A608" s="2" t="s">
        <v>578</v>
      </c>
      <c r="B608" s="2" t="s">
        <v>1832</v>
      </c>
      <c r="C608" s="2" t="s">
        <v>1833</v>
      </c>
      <c r="D608" s="2" t="s">
        <v>1834</v>
      </c>
      <c r="E608" s="3">
        <v>45897</v>
      </c>
      <c r="F608" s="3">
        <v>46262</v>
      </c>
      <c r="G608" s="4">
        <v>0</v>
      </c>
      <c r="H608" s="10">
        <v>0.1075</v>
      </c>
      <c r="I608" s="10">
        <v>0.1026</v>
      </c>
      <c r="J608" s="5">
        <v>144920</v>
      </c>
      <c r="K608" s="5">
        <v>120000</v>
      </c>
      <c r="L608" s="5">
        <v>24920</v>
      </c>
      <c r="M608" s="4">
        <v>0.83</v>
      </c>
      <c r="N608" s="2">
        <v>1</v>
      </c>
      <c r="O608" s="5">
        <v>0</v>
      </c>
      <c r="P608" s="5">
        <v>1075</v>
      </c>
      <c r="Q608" s="3">
        <v>46023</v>
      </c>
      <c r="R608" s="6">
        <f t="shared" si="22"/>
        <v>0</v>
      </c>
    </row>
    <row r="609" spans="1:18" x14ac:dyDescent="0.25">
      <c r="A609" s="2" t="s">
        <v>578</v>
      </c>
      <c r="B609" s="2" t="s">
        <v>1835</v>
      </c>
      <c r="C609" s="2" t="s">
        <v>1836</v>
      </c>
      <c r="D609" s="2" t="s">
        <v>1837</v>
      </c>
      <c r="E609" s="3">
        <v>45897</v>
      </c>
      <c r="F609" s="3">
        <v>46262</v>
      </c>
      <c r="G609" s="4">
        <v>0</v>
      </c>
      <c r="H609" s="10">
        <v>0.105</v>
      </c>
      <c r="I609" s="10">
        <v>0.1021</v>
      </c>
      <c r="J609" s="5">
        <v>379000</v>
      </c>
      <c r="K609" s="5">
        <v>280000</v>
      </c>
      <c r="L609" s="5">
        <v>99000</v>
      </c>
      <c r="M609" s="4">
        <v>0.74</v>
      </c>
      <c r="N609" s="2">
        <v>1</v>
      </c>
      <c r="O609" s="5">
        <v>0</v>
      </c>
      <c r="P609" s="5">
        <v>2450</v>
      </c>
      <c r="Q609" s="3">
        <v>46023</v>
      </c>
      <c r="R609" s="6">
        <f t="shared" si="22"/>
        <v>0</v>
      </c>
    </row>
    <row r="610" spans="1:18" x14ac:dyDescent="0.25">
      <c r="A610" s="2" t="s">
        <v>578</v>
      </c>
      <c r="B610" s="2" t="s">
        <v>1838</v>
      </c>
      <c r="C610" s="2" t="s">
        <v>1839</v>
      </c>
      <c r="D610" s="2" t="s">
        <v>1840</v>
      </c>
      <c r="E610" s="3">
        <v>45898</v>
      </c>
      <c r="F610" s="3">
        <v>46263</v>
      </c>
      <c r="G610" s="4">
        <v>0</v>
      </c>
      <c r="H610" s="10">
        <v>0.1075</v>
      </c>
      <c r="I610" s="10">
        <v>0.1026</v>
      </c>
      <c r="J610" s="5">
        <v>162500</v>
      </c>
      <c r="K610" s="5">
        <v>162500</v>
      </c>
      <c r="L610" s="5">
        <v>0</v>
      </c>
      <c r="M610" s="4">
        <v>1</v>
      </c>
      <c r="N610" s="2">
        <v>2</v>
      </c>
      <c r="O610" s="5">
        <v>0</v>
      </c>
      <c r="P610" s="5">
        <v>1456</v>
      </c>
      <c r="Q610" s="3">
        <v>46023</v>
      </c>
      <c r="R610" s="6">
        <f t="shared" si="22"/>
        <v>0</v>
      </c>
    </row>
    <row r="611" spans="1:18" x14ac:dyDescent="0.25">
      <c r="A611" s="2" t="s">
        <v>578</v>
      </c>
      <c r="B611" s="2" t="s">
        <v>1841</v>
      </c>
      <c r="C611" s="2" t="s">
        <v>1842</v>
      </c>
      <c r="D611" s="2" t="s">
        <v>1843</v>
      </c>
      <c r="E611" s="3">
        <v>45898</v>
      </c>
      <c r="F611" s="3">
        <v>46263</v>
      </c>
      <c r="G611" s="4">
        <v>0</v>
      </c>
      <c r="H611" s="10">
        <v>0.1075</v>
      </c>
      <c r="I611" s="10">
        <v>0.1026</v>
      </c>
      <c r="J611" s="5">
        <v>280000</v>
      </c>
      <c r="K611" s="5">
        <v>40000</v>
      </c>
      <c r="L611" s="5">
        <v>240000</v>
      </c>
      <c r="M611" s="4">
        <v>0.14000000000000001</v>
      </c>
      <c r="N611" s="2">
        <v>1</v>
      </c>
      <c r="O611" s="5">
        <v>0</v>
      </c>
      <c r="P611" s="5">
        <v>358</v>
      </c>
      <c r="Q611" s="3">
        <v>46023</v>
      </c>
      <c r="R611" s="6">
        <f t="shared" si="22"/>
        <v>0</v>
      </c>
    </row>
    <row r="612" spans="1:18" x14ac:dyDescent="0.25">
      <c r="A612" s="2" t="s">
        <v>578</v>
      </c>
      <c r="B612" s="2" t="s">
        <v>1844</v>
      </c>
      <c r="C612" s="2" t="s">
        <v>1845</v>
      </c>
      <c r="D612" s="2" t="s">
        <v>1846</v>
      </c>
      <c r="E612" s="3">
        <v>45898</v>
      </c>
      <c r="F612" s="3">
        <v>46263</v>
      </c>
      <c r="G612" s="4">
        <v>0</v>
      </c>
      <c r="H612" s="10">
        <v>0.1099</v>
      </c>
      <c r="I612" s="10">
        <v>0.1031</v>
      </c>
      <c r="J612" s="5">
        <v>190265</v>
      </c>
      <c r="K612" s="5">
        <v>187665</v>
      </c>
      <c r="L612" s="5">
        <v>2600</v>
      </c>
      <c r="M612" s="4">
        <v>0.99</v>
      </c>
      <c r="N612" s="2">
        <v>4</v>
      </c>
      <c r="O612" s="5">
        <v>0</v>
      </c>
      <c r="P612" s="5">
        <v>1682</v>
      </c>
      <c r="Q612" s="3">
        <v>46023</v>
      </c>
      <c r="R612" s="6">
        <f t="shared" si="22"/>
        <v>0</v>
      </c>
    </row>
    <row r="613" spans="1:18" x14ac:dyDescent="0.25">
      <c r="A613" s="2" t="s">
        <v>578</v>
      </c>
      <c r="B613" s="2" t="s">
        <v>1847</v>
      </c>
      <c r="C613" s="2" t="s">
        <v>1848</v>
      </c>
      <c r="D613" s="2" t="s">
        <v>1849</v>
      </c>
      <c r="E613" s="3">
        <v>45904</v>
      </c>
      <c r="F613" s="3">
        <v>46269</v>
      </c>
      <c r="G613" s="4">
        <v>0</v>
      </c>
      <c r="H613" s="10">
        <v>0.10249999999999999</v>
      </c>
      <c r="I613" s="10">
        <v>0.1012</v>
      </c>
      <c r="J613" s="5">
        <v>930500</v>
      </c>
      <c r="K613" s="5">
        <v>840620</v>
      </c>
      <c r="L613" s="5">
        <v>89880</v>
      </c>
      <c r="M613" s="4">
        <v>0.9</v>
      </c>
      <c r="N613" s="2">
        <v>5</v>
      </c>
      <c r="O613" s="5">
        <v>0</v>
      </c>
      <c r="P613" s="5">
        <v>7028</v>
      </c>
      <c r="Q613" s="3">
        <v>46023</v>
      </c>
      <c r="R613" s="6">
        <f t="shared" si="22"/>
        <v>0</v>
      </c>
    </row>
    <row r="614" spans="1:18" x14ac:dyDescent="0.25">
      <c r="A614" s="2" t="s">
        <v>578</v>
      </c>
      <c r="B614" s="2" t="s">
        <v>1850</v>
      </c>
      <c r="C614" s="2" t="s">
        <v>1851</v>
      </c>
      <c r="D614" s="2" t="s">
        <v>1852</v>
      </c>
      <c r="E614" s="3">
        <v>45904</v>
      </c>
      <c r="F614" s="3">
        <v>46269</v>
      </c>
      <c r="G614" s="4">
        <v>0</v>
      </c>
      <c r="H614" s="10">
        <v>0.1075</v>
      </c>
      <c r="I614" s="10">
        <v>0.1026</v>
      </c>
      <c r="J614" s="5">
        <v>522575</v>
      </c>
      <c r="K614" s="5">
        <v>485180</v>
      </c>
      <c r="L614" s="5">
        <v>37395</v>
      </c>
      <c r="M614" s="4">
        <v>0.93</v>
      </c>
      <c r="N614" s="2">
        <v>3</v>
      </c>
      <c r="O614" s="5">
        <v>0</v>
      </c>
      <c r="P614" s="5">
        <v>3990</v>
      </c>
      <c r="Q614" s="3">
        <v>46023</v>
      </c>
      <c r="R614" s="6">
        <f t="shared" si="22"/>
        <v>0</v>
      </c>
    </row>
    <row r="615" spans="1:18" x14ac:dyDescent="0.25">
      <c r="A615" s="2" t="s">
        <v>578</v>
      </c>
      <c r="B615" s="2" t="s">
        <v>1853</v>
      </c>
      <c r="C615" s="2" t="s">
        <v>1854</v>
      </c>
      <c r="D615" s="2" t="s">
        <v>1855</v>
      </c>
      <c r="E615" s="3">
        <v>45904</v>
      </c>
      <c r="F615" s="3">
        <v>46269</v>
      </c>
      <c r="G615" s="4">
        <v>0</v>
      </c>
      <c r="H615" s="10">
        <v>9.5000000000000001E-2</v>
      </c>
      <c r="I615" s="10">
        <v>9.4700000000000006E-2</v>
      </c>
      <c r="J615" s="5">
        <v>567000</v>
      </c>
      <c r="K615" s="5">
        <v>567000</v>
      </c>
      <c r="L615" s="5">
        <v>0</v>
      </c>
      <c r="M615" s="4">
        <v>1</v>
      </c>
      <c r="N615" s="2">
        <v>1</v>
      </c>
      <c r="O615" s="5">
        <v>0</v>
      </c>
      <c r="P615" s="5">
        <v>4489</v>
      </c>
      <c r="Q615" s="3">
        <v>46023</v>
      </c>
      <c r="R615" s="6">
        <f t="shared" si="22"/>
        <v>0</v>
      </c>
    </row>
    <row r="616" spans="1:18" x14ac:dyDescent="0.25">
      <c r="A616" s="2" t="s">
        <v>578</v>
      </c>
      <c r="B616" s="2" t="s">
        <v>1856</v>
      </c>
      <c r="C616" s="2" t="s">
        <v>1857</v>
      </c>
      <c r="D616" s="2" t="s">
        <v>1858</v>
      </c>
      <c r="E616" s="3">
        <v>45905</v>
      </c>
      <c r="F616" s="3">
        <v>46270</v>
      </c>
      <c r="G616" s="4">
        <v>0</v>
      </c>
      <c r="H616" s="10">
        <v>0.10249999999999999</v>
      </c>
      <c r="I616" s="10">
        <v>0.1012</v>
      </c>
      <c r="J616" s="5">
        <v>163250</v>
      </c>
      <c r="K616" s="5">
        <v>128250</v>
      </c>
      <c r="L616" s="5">
        <v>35000</v>
      </c>
      <c r="M616" s="4">
        <v>0.79</v>
      </c>
      <c r="N616" s="2">
        <v>1</v>
      </c>
      <c r="O616" s="5">
        <v>0</v>
      </c>
      <c r="P616" s="5">
        <v>1095</v>
      </c>
      <c r="Q616" s="3">
        <v>46023</v>
      </c>
      <c r="R616" s="6">
        <f t="shared" si="22"/>
        <v>0</v>
      </c>
    </row>
    <row r="617" spans="1:18" x14ac:dyDescent="0.25">
      <c r="A617" s="2" t="s">
        <v>578</v>
      </c>
      <c r="B617" s="2" t="s">
        <v>1859</v>
      </c>
      <c r="C617" s="2" t="s">
        <v>1860</v>
      </c>
      <c r="D617" s="2" t="s">
        <v>1861</v>
      </c>
      <c r="E617" s="3">
        <v>45905</v>
      </c>
      <c r="F617" s="3">
        <v>46270</v>
      </c>
      <c r="G617" s="4">
        <v>0</v>
      </c>
      <c r="H617" s="10">
        <v>0.105</v>
      </c>
      <c r="I617" s="10">
        <v>0.1021</v>
      </c>
      <c r="J617" s="5">
        <v>302850</v>
      </c>
      <c r="K617" s="5">
        <v>86404</v>
      </c>
      <c r="L617" s="5">
        <v>216446</v>
      </c>
      <c r="M617" s="4">
        <v>0.28999999999999998</v>
      </c>
      <c r="N617" s="2">
        <v>2</v>
      </c>
      <c r="O617" s="5">
        <v>0</v>
      </c>
      <c r="P617" s="5">
        <v>631</v>
      </c>
      <c r="Q617" s="3">
        <v>46023</v>
      </c>
      <c r="R617" s="6">
        <f t="shared" si="22"/>
        <v>0</v>
      </c>
    </row>
    <row r="618" spans="1:18" x14ac:dyDescent="0.25">
      <c r="A618" s="2" t="s">
        <v>578</v>
      </c>
      <c r="B618" s="2" t="s">
        <v>1862</v>
      </c>
      <c r="C618" s="2" t="s">
        <v>1863</v>
      </c>
      <c r="D618" s="2" t="s">
        <v>1864</v>
      </c>
      <c r="E618" s="3">
        <v>45905</v>
      </c>
      <c r="F618" s="3">
        <v>46270</v>
      </c>
      <c r="G618" s="4">
        <v>0</v>
      </c>
      <c r="H618" s="10">
        <v>0.1</v>
      </c>
      <c r="I618" s="10">
        <v>9.9000000000000005E-2</v>
      </c>
      <c r="J618" s="5">
        <v>553000</v>
      </c>
      <c r="K618" s="5">
        <v>495000</v>
      </c>
      <c r="L618" s="5">
        <v>58000</v>
      </c>
      <c r="M618" s="4">
        <v>0.9</v>
      </c>
      <c r="N618" s="2">
        <v>1</v>
      </c>
      <c r="O618" s="5">
        <v>0</v>
      </c>
      <c r="P618" s="5">
        <v>4125</v>
      </c>
      <c r="Q618" s="3">
        <v>46023</v>
      </c>
      <c r="R618" s="6">
        <f t="shared" si="22"/>
        <v>0</v>
      </c>
    </row>
    <row r="619" spans="1:18" x14ac:dyDescent="0.25">
      <c r="A619" s="2" t="s">
        <v>578</v>
      </c>
      <c r="B619" s="2" t="s">
        <v>1865</v>
      </c>
      <c r="C619" s="2" t="s">
        <v>1866</v>
      </c>
      <c r="D619" s="2" t="s">
        <v>1867</v>
      </c>
      <c r="E619" s="3">
        <v>45905</v>
      </c>
      <c r="F619" s="3">
        <v>46270</v>
      </c>
      <c r="G619" s="4">
        <v>0</v>
      </c>
      <c r="H619" s="10">
        <v>0.105</v>
      </c>
      <c r="I619" s="10">
        <v>0.1021</v>
      </c>
      <c r="J619" s="5">
        <v>906329</v>
      </c>
      <c r="K619" s="5">
        <v>460000</v>
      </c>
      <c r="L619" s="5">
        <v>446329</v>
      </c>
      <c r="M619" s="4">
        <v>0.51</v>
      </c>
      <c r="N619" s="2">
        <v>1</v>
      </c>
      <c r="O619" s="5">
        <v>0</v>
      </c>
      <c r="P619" s="5">
        <v>4025</v>
      </c>
      <c r="Q619" s="3">
        <v>46023</v>
      </c>
      <c r="R619" s="6">
        <f t="shared" si="22"/>
        <v>0</v>
      </c>
    </row>
    <row r="620" spans="1:18" x14ac:dyDescent="0.25">
      <c r="A620" s="2" t="s">
        <v>578</v>
      </c>
      <c r="B620" s="2" t="s">
        <v>1868</v>
      </c>
      <c r="C620" s="2" t="s">
        <v>1869</v>
      </c>
      <c r="D620" s="2" t="s">
        <v>1870</v>
      </c>
      <c r="E620" s="3">
        <v>45909</v>
      </c>
      <c r="F620" s="3">
        <v>46274</v>
      </c>
      <c r="G620" s="4">
        <v>0</v>
      </c>
      <c r="H620" s="10">
        <v>0.105</v>
      </c>
      <c r="I620" s="10">
        <v>0.1021</v>
      </c>
      <c r="J620" s="5">
        <v>517500</v>
      </c>
      <c r="K620" s="5">
        <v>517500</v>
      </c>
      <c r="L620" s="5">
        <v>0</v>
      </c>
      <c r="M620" s="4">
        <v>1</v>
      </c>
      <c r="N620" s="2">
        <v>1</v>
      </c>
      <c r="O620" s="5">
        <v>0</v>
      </c>
      <c r="P620" s="5">
        <v>4528</v>
      </c>
      <c r="Q620" s="3">
        <v>46023</v>
      </c>
      <c r="R620" s="6">
        <f t="shared" si="22"/>
        <v>0</v>
      </c>
    </row>
    <row r="621" spans="1:18" x14ac:dyDescent="0.25">
      <c r="A621" s="2" t="s">
        <v>578</v>
      </c>
      <c r="B621" s="2" t="s">
        <v>1871</v>
      </c>
      <c r="C621" s="2" t="s">
        <v>1872</v>
      </c>
      <c r="D621" s="2" t="s">
        <v>1873</v>
      </c>
      <c r="E621" s="3">
        <v>45909</v>
      </c>
      <c r="F621" s="3">
        <v>46274</v>
      </c>
      <c r="G621" s="4">
        <v>0</v>
      </c>
      <c r="H621" s="10">
        <v>9.5000000000000001E-2</v>
      </c>
      <c r="I621" s="10">
        <v>9.4700000000000006E-2</v>
      </c>
      <c r="J621" s="5">
        <v>456919</v>
      </c>
      <c r="K621" s="5">
        <v>456919</v>
      </c>
      <c r="L621" s="5">
        <v>0</v>
      </c>
      <c r="M621" s="4">
        <v>1</v>
      </c>
      <c r="N621" s="2">
        <v>8</v>
      </c>
      <c r="O621" s="5">
        <v>0</v>
      </c>
      <c r="P621" s="5">
        <v>3578</v>
      </c>
      <c r="Q621" s="3">
        <v>46023</v>
      </c>
      <c r="R621" s="6">
        <f t="shared" si="22"/>
        <v>0</v>
      </c>
    </row>
    <row r="622" spans="1:18" x14ac:dyDescent="0.25">
      <c r="A622" s="2" t="s">
        <v>578</v>
      </c>
      <c r="B622" s="2" t="s">
        <v>1874</v>
      </c>
      <c r="C622" s="2" t="s">
        <v>1875</v>
      </c>
      <c r="D622" s="2" t="s">
        <v>1876</v>
      </c>
      <c r="E622" s="3">
        <v>45911</v>
      </c>
      <c r="F622" s="3">
        <v>46276</v>
      </c>
      <c r="G622" s="4">
        <v>0</v>
      </c>
      <c r="H622" s="10">
        <v>0.10249999999999999</v>
      </c>
      <c r="I622" s="10">
        <v>0.1012</v>
      </c>
      <c r="J622" s="5">
        <v>549000</v>
      </c>
      <c r="K622" s="5">
        <v>549000</v>
      </c>
      <c r="L622" s="5">
        <v>0</v>
      </c>
      <c r="M622" s="4">
        <v>1</v>
      </c>
      <c r="N622" s="2">
        <v>1</v>
      </c>
      <c r="O622" s="5">
        <v>0</v>
      </c>
      <c r="P622" s="5">
        <v>4689</v>
      </c>
      <c r="Q622" s="3">
        <v>46023</v>
      </c>
      <c r="R622" s="6">
        <f t="shared" si="22"/>
        <v>0</v>
      </c>
    </row>
    <row r="623" spans="1:18" x14ac:dyDescent="0.25">
      <c r="A623" s="2" t="s">
        <v>578</v>
      </c>
      <c r="B623" s="2" t="s">
        <v>1877</v>
      </c>
      <c r="C623" s="2" t="s">
        <v>1878</v>
      </c>
      <c r="D623" s="2" t="s">
        <v>1879</v>
      </c>
      <c r="E623" s="3">
        <v>45912</v>
      </c>
      <c r="F623" s="3">
        <v>46368</v>
      </c>
      <c r="G623" s="4">
        <v>0</v>
      </c>
      <c r="H623" s="10">
        <v>0.105</v>
      </c>
      <c r="I623" s="10">
        <v>0.1021</v>
      </c>
      <c r="J623" s="5">
        <v>556128</v>
      </c>
      <c r="K623" s="5">
        <v>496392</v>
      </c>
      <c r="L623" s="5">
        <v>59736</v>
      </c>
      <c r="M623" s="4">
        <v>0.89</v>
      </c>
      <c r="N623" s="2">
        <v>5</v>
      </c>
      <c r="O623" s="5">
        <v>0</v>
      </c>
      <c r="P623" s="5">
        <v>3564</v>
      </c>
      <c r="Q623" s="3">
        <v>46023</v>
      </c>
      <c r="R623" s="6">
        <f t="shared" si="22"/>
        <v>0</v>
      </c>
    </row>
    <row r="624" spans="1:18" x14ac:dyDescent="0.25">
      <c r="A624" s="2" t="s">
        <v>578</v>
      </c>
      <c r="B624" s="2" t="s">
        <v>1880</v>
      </c>
      <c r="C624" s="2" t="s">
        <v>1881</v>
      </c>
      <c r="D624" s="2" t="s">
        <v>1882</v>
      </c>
      <c r="E624" s="3">
        <v>45912</v>
      </c>
      <c r="F624" s="3">
        <v>46277</v>
      </c>
      <c r="G624" s="4">
        <v>0</v>
      </c>
      <c r="H624" s="10">
        <v>9.5000000000000001E-2</v>
      </c>
      <c r="I624" s="10">
        <v>9.4700000000000006E-2</v>
      </c>
      <c r="J624" s="5">
        <v>592440</v>
      </c>
      <c r="K624" s="5">
        <v>588302</v>
      </c>
      <c r="L624" s="5">
        <v>4138</v>
      </c>
      <c r="M624" s="4">
        <v>0.99</v>
      </c>
      <c r="N624" s="2">
        <v>8</v>
      </c>
      <c r="O624" s="5">
        <v>0</v>
      </c>
      <c r="P624" s="5">
        <v>4627</v>
      </c>
      <c r="Q624" s="3">
        <v>46023</v>
      </c>
      <c r="R624" s="6">
        <f t="shared" si="22"/>
        <v>0</v>
      </c>
    </row>
    <row r="625" spans="1:18" x14ac:dyDescent="0.25">
      <c r="A625" s="2" t="s">
        <v>578</v>
      </c>
      <c r="B625" s="2" t="s">
        <v>1883</v>
      </c>
      <c r="C625" s="2" t="s">
        <v>1884</v>
      </c>
      <c r="D625" s="2" t="s">
        <v>1885</v>
      </c>
      <c r="E625" s="3">
        <v>45912</v>
      </c>
      <c r="F625" s="3">
        <v>46368</v>
      </c>
      <c r="G625" s="4">
        <v>0</v>
      </c>
      <c r="H625" s="10">
        <v>0.1</v>
      </c>
      <c r="I625" s="10">
        <v>9.9000000000000005E-2</v>
      </c>
      <c r="J625" s="5">
        <v>873900</v>
      </c>
      <c r="K625" s="5">
        <v>774000</v>
      </c>
      <c r="L625" s="5">
        <v>99900</v>
      </c>
      <c r="M625" s="4">
        <v>0.89</v>
      </c>
      <c r="N625" s="2">
        <v>1</v>
      </c>
      <c r="O625" s="5">
        <v>0</v>
      </c>
      <c r="P625" s="5">
        <v>6450</v>
      </c>
      <c r="Q625" s="3">
        <v>46023</v>
      </c>
      <c r="R625" s="6">
        <f t="shared" si="22"/>
        <v>0</v>
      </c>
    </row>
    <row r="626" spans="1:18" x14ac:dyDescent="0.25">
      <c r="A626" s="2" t="s">
        <v>578</v>
      </c>
      <c r="B626" s="2" t="s">
        <v>1886</v>
      </c>
      <c r="C626" s="2" t="s">
        <v>1887</v>
      </c>
      <c r="D626" s="2" t="s">
        <v>1888</v>
      </c>
      <c r="E626" s="3">
        <v>45912</v>
      </c>
      <c r="F626" s="3">
        <v>46277</v>
      </c>
      <c r="G626" s="4">
        <v>0</v>
      </c>
      <c r="H626" s="10">
        <v>0.105</v>
      </c>
      <c r="I626" s="10">
        <v>0.1021</v>
      </c>
      <c r="J626" s="5">
        <v>164500</v>
      </c>
      <c r="K626" s="5">
        <v>151244</v>
      </c>
      <c r="L626" s="5">
        <v>13256</v>
      </c>
      <c r="M626" s="4">
        <v>0.92</v>
      </c>
      <c r="N626" s="2">
        <v>2</v>
      </c>
      <c r="O626" s="5">
        <v>0</v>
      </c>
      <c r="P626" s="5">
        <v>1089</v>
      </c>
      <c r="Q626" s="3">
        <v>46054</v>
      </c>
      <c r="R626" s="6">
        <f t="shared" si="22"/>
        <v>0</v>
      </c>
    </row>
    <row r="627" spans="1:18" x14ac:dyDescent="0.25">
      <c r="A627" s="2" t="s">
        <v>578</v>
      </c>
      <c r="B627" s="2" t="s">
        <v>1889</v>
      </c>
      <c r="C627" s="2" t="s">
        <v>1890</v>
      </c>
      <c r="D627" s="2" t="s">
        <v>1891</v>
      </c>
      <c r="E627" s="3">
        <v>45915</v>
      </c>
      <c r="F627" s="3">
        <v>46280</v>
      </c>
      <c r="G627" s="4">
        <v>0</v>
      </c>
      <c r="H627" s="10">
        <v>0.1099</v>
      </c>
      <c r="I627" s="10">
        <v>0.1031</v>
      </c>
      <c r="J627" s="5">
        <v>331500</v>
      </c>
      <c r="K627" s="5">
        <v>331500</v>
      </c>
      <c r="L627" s="5">
        <v>0</v>
      </c>
      <c r="M627" s="4">
        <v>1</v>
      </c>
      <c r="N627" s="2">
        <v>4</v>
      </c>
      <c r="O627" s="5">
        <v>0</v>
      </c>
      <c r="P627" s="5">
        <v>2852</v>
      </c>
      <c r="Q627" s="3">
        <v>46023</v>
      </c>
      <c r="R627" s="6">
        <f t="shared" si="22"/>
        <v>0</v>
      </c>
    </row>
    <row r="628" spans="1:18" x14ac:dyDescent="0.25">
      <c r="A628" s="2" t="s">
        <v>578</v>
      </c>
      <c r="B628" s="2" t="s">
        <v>1892</v>
      </c>
      <c r="C628" s="2" t="s">
        <v>1893</v>
      </c>
      <c r="D628" s="2" t="s">
        <v>1894</v>
      </c>
      <c r="E628" s="3">
        <v>45915</v>
      </c>
      <c r="F628" s="3">
        <v>46280</v>
      </c>
      <c r="G628" s="4">
        <v>0</v>
      </c>
      <c r="H628" s="10">
        <v>0.11</v>
      </c>
      <c r="I628" s="10">
        <v>0.1031</v>
      </c>
      <c r="J628" s="5">
        <v>85300</v>
      </c>
      <c r="K628" s="5">
        <v>48800</v>
      </c>
      <c r="L628" s="5">
        <v>36500</v>
      </c>
      <c r="M628" s="4">
        <v>0.56999999999999995</v>
      </c>
      <c r="N628" s="2">
        <v>3</v>
      </c>
      <c r="O628" s="5">
        <v>0</v>
      </c>
      <c r="P628" s="5">
        <v>782</v>
      </c>
      <c r="Q628" s="3">
        <v>46023</v>
      </c>
      <c r="R628" s="6">
        <f t="shared" si="22"/>
        <v>0</v>
      </c>
    </row>
    <row r="629" spans="1:18" x14ac:dyDescent="0.25">
      <c r="A629" s="2" t="s">
        <v>578</v>
      </c>
      <c r="B629" s="2" t="s">
        <v>1895</v>
      </c>
      <c r="C629" s="2" t="s">
        <v>1896</v>
      </c>
      <c r="D629" s="2" t="s">
        <v>1897</v>
      </c>
      <c r="E629" s="3">
        <v>45916</v>
      </c>
      <c r="F629" s="3">
        <v>46281</v>
      </c>
      <c r="G629" s="4">
        <v>0</v>
      </c>
      <c r="H629" s="10">
        <v>0.1075</v>
      </c>
      <c r="I629" s="10">
        <v>0.1026</v>
      </c>
      <c r="J629" s="5">
        <v>213984</v>
      </c>
      <c r="K629" s="5">
        <v>104300</v>
      </c>
      <c r="L629" s="5">
        <v>109684</v>
      </c>
      <c r="M629" s="4">
        <v>0.49</v>
      </c>
      <c r="N629" s="2">
        <v>2</v>
      </c>
      <c r="O629" s="5">
        <v>0</v>
      </c>
      <c r="P629" s="5">
        <v>934</v>
      </c>
      <c r="Q629" s="3">
        <v>46023</v>
      </c>
      <c r="R629" s="6">
        <f t="shared" si="22"/>
        <v>0</v>
      </c>
    </row>
    <row r="630" spans="1:18" x14ac:dyDescent="0.25">
      <c r="A630" s="2" t="s">
        <v>578</v>
      </c>
      <c r="B630" s="2" t="s">
        <v>1898</v>
      </c>
      <c r="C630" s="2" t="s">
        <v>1899</v>
      </c>
      <c r="D630" s="2" t="s">
        <v>1900</v>
      </c>
      <c r="E630" s="3">
        <v>45916</v>
      </c>
      <c r="F630" s="3">
        <v>46281</v>
      </c>
      <c r="G630" s="4">
        <v>0</v>
      </c>
      <c r="H630" s="10">
        <v>0.1075</v>
      </c>
      <c r="I630" s="10">
        <v>0.1026</v>
      </c>
      <c r="J630" s="5">
        <v>254500</v>
      </c>
      <c r="K630" s="5">
        <v>254500</v>
      </c>
      <c r="L630" s="5">
        <v>0</v>
      </c>
      <c r="M630" s="4">
        <v>1</v>
      </c>
      <c r="N630" s="2">
        <v>2</v>
      </c>
      <c r="O630" s="5">
        <v>0</v>
      </c>
      <c r="P630" s="5">
        <v>2175</v>
      </c>
      <c r="Q630" s="3">
        <v>46023</v>
      </c>
      <c r="R630" s="6">
        <f t="shared" si="22"/>
        <v>0</v>
      </c>
    </row>
    <row r="631" spans="1:18" x14ac:dyDescent="0.25">
      <c r="A631" s="2" t="s">
        <v>578</v>
      </c>
      <c r="B631" s="2" t="s">
        <v>1901</v>
      </c>
      <c r="C631" s="2" t="s">
        <v>1902</v>
      </c>
      <c r="D631" s="2" t="s">
        <v>1903</v>
      </c>
      <c r="E631" s="3">
        <v>45917</v>
      </c>
      <c r="F631" s="3">
        <v>46282</v>
      </c>
      <c r="G631" s="4">
        <v>0</v>
      </c>
      <c r="H631" s="10">
        <v>0.10249999999999999</v>
      </c>
      <c r="I631" s="10">
        <v>0.1012</v>
      </c>
      <c r="J631" s="5">
        <v>971950</v>
      </c>
      <c r="K631" s="5">
        <v>646000</v>
      </c>
      <c r="L631" s="5">
        <v>325950</v>
      </c>
      <c r="M631" s="4">
        <v>0.66</v>
      </c>
      <c r="N631" s="2">
        <v>1</v>
      </c>
      <c r="O631" s="5">
        <v>0</v>
      </c>
      <c r="P631" s="5">
        <v>5518</v>
      </c>
      <c r="Q631" s="3">
        <v>46023</v>
      </c>
      <c r="R631" s="6">
        <f t="shared" si="22"/>
        <v>0</v>
      </c>
    </row>
    <row r="632" spans="1:18" x14ac:dyDescent="0.25">
      <c r="A632" s="2" t="s">
        <v>578</v>
      </c>
      <c r="B632" s="2" t="s">
        <v>1904</v>
      </c>
      <c r="C632" s="2" t="s">
        <v>1905</v>
      </c>
      <c r="D632" s="2" t="s">
        <v>1906</v>
      </c>
      <c r="E632" s="3">
        <v>45917</v>
      </c>
      <c r="F632" s="3">
        <v>46282</v>
      </c>
      <c r="G632" s="4">
        <v>0</v>
      </c>
      <c r="H632" s="10">
        <v>0.10249999999999999</v>
      </c>
      <c r="I632" s="10">
        <v>0.1012</v>
      </c>
      <c r="J632" s="5">
        <v>519930</v>
      </c>
      <c r="K632" s="5">
        <v>519930</v>
      </c>
      <c r="L632" s="5">
        <v>0</v>
      </c>
      <c r="M632" s="4">
        <v>1</v>
      </c>
      <c r="N632" s="2">
        <v>1</v>
      </c>
      <c r="O632" s="5">
        <v>0</v>
      </c>
      <c r="P632" s="5">
        <v>4441</v>
      </c>
      <c r="Q632" s="3">
        <v>46023</v>
      </c>
      <c r="R632" s="6">
        <f t="shared" si="22"/>
        <v>0</v>
      </c>
    </row>
    <row r="633" spans="1:18" x14ac:dyDescent="0.25">
      <c r="A633" s="2" t="s">
        <v>578</v>
      </c>
      <c r="B633" s="2" t="s">
        <v>1907</v>
      </c>
      <c r="C633" s="2" t="s">
        <v>1908</v>
      </c>
      <c r="D633" s="2" t="s">
        <v>1909</v>
      </c>
      <c r="E633" s="3">
        <v>45918</v>
      </c>
      <c r="F633" s="3">
        <v>46283</v>
      </c>
      <c r="G633" s="4">
        <v>0</v>
      </c>
      <c r="H633" s="10">
        <v>9.5000000000000001E-2</v>
      </c>
      <c r="I633" s="10">
        <v>9.4700000000000006E-2</v>
      </c>
      <c r="J633" s="5">
        <v>459000</v>
      </c>
      <c r="K633" s="5">
        <v>459000</v>
      </c>
      <c r="L633" s="5">
        <v>0</v>
      </c>
      <c r="M633" s="4">
        <v>1</v>
      </c>
      <c r="N633" s="2">
        <v>1</v>
      </c>
      <c r="O633" s="5">
        <v>0</v>
      </c>
      <c r="P633" s="5">
        <v>3634</v>
      </c>
      <c r="Q633" s="3">
        <v>46023</v>
      </c>
      <c r="R633" s="6">
        <f t="shared" si="22"/>
        <v>0</v>
      </c>
    </row>
    <row r="634" spans="1:18" x14ac:dyDescent="0.25">
      <c r="A634" s="2" t="s">
        <v>578</v>
      </c>
      <c r="B634" s="2" t="s">
        <v>1910</v>
      </c>
      <c r="C634" s="2" t="s">
        <v>1911</v>
      </c>
      <c r="D634" s="2" t="s">
        <v>1912</v>
      </c>
      <c r="E634" s="3">
        <v>45918</v>
      </c>
      <c r="F634" s="3">
        <v>46464</v>
      </c>
      <c r="G634" s="4">
        <v>0</v>
      </c>
      <c r="H634" s="10">
        <v>9.9900000000000003E-2</v>
      </c>
      <c r="I634" s="10">
        <v>9.9199999999999997E-2</v>
      </c>
      <c r="J634" s="5">
        <v>463680</v>
      </c>
      <c r="K634" s="5">
        <v>463680</v>
      </c>
      <c r="L634" s="5">
        <v>0</v>
      </c>
      <c r="M634" s="4">
        <v>1</v>
      </c>
      <c r="N634" s="2">
        <v>1</v>
      </c>
      <c r="O634" s="5">
        <v>0</v>
      </c>
      <c r="P634" s="5">
        <v>3860</v>
      </c>
      <c r="Q634" s="3">
        <v>46023</v>
      </c>
      <c r="R634" s="6">
        <f t="shared" si="22"/>
        <v>0</v>
      </c>
    </row>
    <row r="635" spans="1:18" x14ac:dyDescent="0.25">
      <c r="A635" s="2" t="s">
        <v>578</v>
      </c>
      <c r="B635" s="2" t="s">
        <v>1913</v>
      </c>
      <c r="C635" s="2" t="s">
        <v>1914</v>
      </c>
      <c r="D635" s="2" t="s">
        <v>1915</v>
      </c>
      <c r="E635" s="3">
        <v>45918</v>
      </c>
      <c r="F635" s="3">
        <v>46374</v>
      </c>
      <c r="G635" s="4">
        <v>0</v>
      </c>
      <c r="H635" s="10">
        <v>0.1099</v>
      </c>
      <c r="I635" s="10">
        <v>0.1031</v>
      </c>
      <c r="J635" s="5">
        <v>122500</v>
      </c>
      <c r="K635" s="5">
        <v>72800</v>
      </c>
      <c r="L635" s="5">
        <v>49700</v>
      </c>
      <c r="M635" s="4">
        <v>0.59</v>
      </c>
      <c r="N635" s="2">
        <v>1</v>
      </c>
      <c r="O635" s="5">
        <v>0</v>
      </c>
      <c r="P635" s="5">
        <v>667</v>
      </c>
      <c r="Q635" s="3">
        <v>46023</v>
      </c>
      <c r="R635" s="6">
        <f t="shared" si="22"/>
        <v>0</v>
      </c>
    </row>
    <row r="636" spans="1:18" x14ac:dyDescent="0.25">
      <c r="A636" s="2" t="s">
        <v>578</v>
      </c>
      <c r="B636" s="2" t="s">
        <v>1916</v>
      </c>
      <c r="C636" s="2" t="s">
        <v>1917</v>
      </c>
      <c r="D636" s="2" t="s">
        <v>1918</v>
      </c>
      <c r="E636" s="3">
        <v>45919</v>
      </c>
      <c r="F636" s="3">
        <v>46284</v>
      </c>
      <c r="G636" s="4">
        <v>0</v>
      </c>
      <c r="H636" s="10">
        <v>0.1125</v>
      </c>
      <c r="I636" s="10">
        <v>0.1036</v>
      </c>
      <c r="J636" s="5">
        <v>237050</v>
      </c>
      <c r="K636" s="5">
        <v>136800</v>
      </c>
      <c r="L636" s="5">
        <v>100250</v>
      </c>
      <c r="M636" s="4">
        <v>0.57999999999999996</v>
      </c>
      <c r="N636" s="2">
        <v>1</v>
      </c>
      <c r="O636" s="5">
        <v>0</v>
      </c>
      <c r="P636" s="5">
        <v>1282</v>
      </c>
      <c r="Q636" s="3">
        <v>46023</v>
      </c>
      <c r="R636" s="6">
        <f t="shared" si="22"/>
        <v>0</v>
      </c>
    </row>
    <row r="637" spans="1:18" x14ac:dyDescent="0.25">
      <c r="A637" s="2" t="s">
        <v>578</v>
      </c>
      <c r="B637" s="2" t="s">
        <v>1919</v>
      </c>
      <c r="C637" s="2" t="s">
        <v>1920</v>
      </c>
      <c r="D637" s="2" t="s">
        <v>1921</v>
      </c>
      <c r="E637" s="3">
        <v>45919</v>
      </c>
      <c r="F637" s="3">
        <v>46284</v>
      </c>
      <c r="G637" s="4">
        <v>0</v>
      </c>
      <c r="H637" s="10">
        <v>0.105</v>
      </c>
      <c r="I637" s="10">
        <v>0.1021</v>
      </c>
      <c r="J637" s="5">
        <v>775200</v>
      </c>
      <c r="K637" s="5">
        <v>775200</v>
      </c>
      <c r="L637" s="5">
        <v>0</v>
      </c>
      <c r="M637" s="4">
        <v>1</v>
      </c>
      <c r="N637" s="2">
        <v>1</v>
      </c>
      <c r="O637" s="5">
        <v>0</v>
      </c>
      <c r="P637" s="5">
        <v>6783</v>
      </c>
      <c r="Q637" s="3">
        <v>46023</v>
      </c>
      <c r="R637" s="6">
        <f t="shared" si="22"/>
        <v>0</v>
      </c>
    </row>
    <row r="638" spans="1:18" x14ac:dyDescent="0.25">
      <c r="A638" s="2" t="s">
        <v>578</v>
      </c>
      <c r="B638" s="2" t="s">
        <v>1922</v>
      </c>
      <c r="C638" s="2" t="s">
        <v>1923</v>
      </c>
      <c r="D638" s="2" t="s">
        <v>1924</v>
      </c>
      <c r="E638" s="3">
        <v>45922</v>
      </c>
      <c r="F638" s="3">
        <v>46287</v>
      </c>
      <c r="G638" s="4">
        <v>0</v>
      </c>
      <c r="H638" s="10">
        <v>0.105</v>
      </c>
      <c r="I638" s="10">
        <v>0.10249999999999999</v>
      </c>
      <c r="J638" s="5">
        <v>545500</v>
      </c>
      <c r="K638" s="5">
        <v>445500</v>
      </c>
      <c r="L638" s="5">
        <v>100000</v>
      </c>
      <c r="M638" s="4">
        <v>0.82</v>
      </c>
      <c r="N638" s="2">
        <v>1</v>
      </c>
      <c r="O638" s="5">
        <v>0</v>
      </c>
      <c r="P638" s="5">
        <v>3898</v>
      </c>
      <c r="Q638" s="3">
        <v>46023</v>
      </c>
      <c r="R638" s="6">
        <f t="shared" si="22"/>
        <v>0</v>
      </c>
    </row>
    <row r="639" spans="1:18" x14ac:dyDescent="0.25">
      <c r="A639" s="2" t="s">
        <v>578</v>
      </c>
      <c r="B639" s="2" t="s">
        <v>1925</v>
      </c>
      <c r="C639" s="2" t="s">
        <v>1926</v>
      </c>
      <c r="D639" s="2" t="s">
        <v>1927</v>
      </c>
      <c r="E639" s="3">
        <v>45924</v>
      </c>
      <c r="F639" s="3">
        <v>46289</v>
      </c>
      <c r="G639" s="4">
        <v>0</v>
      </c>
      <c r="H639" s="10">
        <v>0.115</v>
      </c>
      <c r="I639" s="10">
        <v>0.114</v>
      </c>
      <c r="J639" s="5">
        <v>269734</v>
      </c>
      <c r="K639" s="5">
        <v>199188</v>
      </c>
      <c r="L639" s="5">
        <v>70546</v>
      </c>
      <c r="M639" s="4">
        <v>0.74</v>
      </c>
      <c r="N639" s="2">
        <v>6</v>
      </c>
      <c r="O639" s="5">
        <v>0</v>
      </c>
      <c r="P639" s="5">
        <v>1038</v>
      </c>
      <c r="Q639" s="3">
        <v>46023</v>
      </c>
      <c r="R639" s="6">
        <f t="shared" si="22"/>
        <v>0</v>
      </c>
    </row>
    <row r="640" spans="1:18" x14ac:dyDescent="0.25">
      <c r="A640" s="2" t="s">
        <v>578</v>
      </c>
      <c r="B640" s="2" t="s">
        <v>1928</v>
      </c>
      <c r="C640" s="2" t="s">
        <v>1929</v>
      </c>
      <c r="D640" s="2" t="s">
        <v>1930</v>
      </c>
      <c r="E640" s="3">
        <v>45924</v>
      </c>
      <c r="F640" s="3">
        <v>46289</v>
      </c>
      <c r="G640" s="4">
        <v>0</v>
      </c>
      <c r="H640" s="10">
        <v>0.115</v>
      </c>
      <c r="I640" s="10">
        <v>0.114</v>
      </c>
      <c r="J640" s="5">
        <v>269750</v>
      </c>
      <c r="K640" s="5">
        <v>197012</v>
      </c>
      <c r="L640" s="5">
        <v>72738</v>
      </c>
      <c r="M640" s="4">
        <v>0.73</v>
      </c>
      <c r="N640" s="2">
        <v>6</v>
      </c>
      <c r="O640" s="5">
        <v>0</v>
      </c>
      <c r="P640" s="5">
        <v>1106</v>
      </c>
      <c r="Q640" s="3">
        <v>46023</v>
      </c>
      <c r="R640" s="6">
        <f t="shared" si="22"/>
        <v>0</v>
      </c>
    </row>
    <row r="641" spans="1:18" x14ac:dyDescent="0.25">
      <c r="A641" s="2" t="s">
        <v>578</v>
      </c>
      <c r="B641" s="2" t="s">
        <v>1931</v>
      </c>
      <c r="C641" s="2" t="s">
        <v>1932</v>
      </c>
      <c r="D641" s="2" t="s">
        <v>1933</v>
      </c>
      <c r="E641" s="3">
        <v>45924</v>
      </c>
      <c r="F641" s="3">
        <v>46289</v>
      </c>
      <c r="G641" s="4">
        <v>0</v>
      </c>
      <c r="H641" s="10">
        <v>0.1075</v>
      </c>
      <c r="I641" s="10">
        <v>0.1026</v>
      </c>
      <c r="J641" s="5">
        <v>117000</v>
      </c>
      <c r="K641" s="5">
        <v>89250</v>
      </c>
      <c r="L641" s="5">
        <v>27750</v>
      </c>
      <c r="M641" s="4">
        <v>0.76</v>
      </c>
      <c r="N641" s="2">
        <v>1</v>
      </c>
      <c r="O641" s="5">
        <v>0</v>
      </c>
      <c r="P641" s="5">
        <v>1048</v>
      </c>
      <c r="Q641" s="3">
        <v>46023</v>
      </c>
      <c r="R641" s="6">
        <f t="shared" si="22"/>
        <v>0</v>
      </c>
    </row>
    <row r="642" spans="1:18" x14ac:dyDescent="0.25">
      <c r="A642" s="2" t="s">
        <v>578</v>
      </c>
      <c r="B642" s="2" t="s">
        <v>1934</v>
      </c>
      <c r="C642" s="2" t="s">
        <v>1935</v>
      </c>
      <c r="D642" s="2" t="s">
        <v>1936</v>
      </c>
      <c r="E642" s="3">
        <v>45924</v>
      </c>
      <c r="F642" s="3">
        <v>46289</v>
      </c>
      <c r="G642" s="4">
        <v>0</v>
      </c>
      <c r="H642" s="10">
        <v>0.115</v>
      </c>
      <c r="I642" s="10">
        <v>0.114</v>
      </c>
      <c r="J642" s="5">
        <v>269750</v>
      </c>
      <c r="K642" s="5">
        <v>183710</v>
      </c>
      <c r="L642" s="5">
        <v>86040</v>
      </c>
      <c r="M642" s="4">
        <v>0.68</v>
      </c>
      <c r="N642" s="2">
        <v>6</v>
      </c>
      <c r="O642" s="5">
        <v>0</v>
      </c>
      <c r="P642" s="5">
        <v>1022</v>
      </c>
      <c r="Q642" s="3">
        <v>46023</v>
      </c>
      <c r="R642" s="6">
        <f t="shared" si="22"/>
        <v>0</v>
      </c>
    </row>
    <row r="643" spans="1:18" x14ac:dyDescent="0.25">
      <c r="A643" s="2" t="s">
        <v>578</v>
      </c>
      <c r="B643" s="2" t="s">
        <v>1937</v>
      </c>
      <c r="C643" s="2" t="s">
        <v>1938</v>
      </c>
      <c r="D643" s="2" t="s">
        <v>1939</v>
      </c>
      <c r="E643" s="3">
        <v>45924</v>
      </c>
      <c r="F643" s="3">
        <v>46289</v>
      </c>
      <c r="G643" s="4">
        <v>0</v>
      </c>
      <c r="H643" s="10">
        <v>0.115</v>
      </c>
      <c r="I643" s="10">
        <v>0.114</v>
      </c>
      <c r="J643" s="5">
        <v>269750</v>
      </c>
      <c r="K643" s="5">
        <v>193729</v>
      </c>
      <c r="L643" s="5">
        <v>76021</v>
      </c>
      <c r="M643" s="4">
        <v>0.72</v>
      </c>
      <c r="N643" s="2">
        <v>5</v>
      </c>
      <c r="O643" s="5">
        <v>0</v>
      </c>
      <c r="P643" s="5">
        <v>1001</v>
      </c>
      <c r="Q643" s="3">
        <v>46023</v>
      </c>
      <c r="R643" s="6">
        <f t="shared" si="22"/>
        <v>0</v>
      </c>
    </row>
    <row r="644" spans="1:18" x14ac:dyDescent="0.25">
      <c r="A644" s="2" t="s">
        <v>578</v>
      </c>
      <c r="B644" s="2" t="s">
        <v>1940</v>
      </c>
      <c r="C644" s="2" t="s">
        <v>1941</v>
      </c>
      <c r="D644" s="2" t="s">
        <v>1942</v>
      </c>
      <c r="E644" s="3">
        <v>45924</v>
      </c>
      <c r="F644" s="3">
        <v>46289</v>
      </c>
      <c r="G644" s="4">
        <v>0</v>
      </c>
      <c r="H644" s="10">
        <v>0.11</v>
      </c>
      <c r="I644" s="10">
        <v>0.1031</v>
      </c>
      <c r="J644" s="5">
        <v>906028</v>
      </c>
      <c r="K644" s="5">
        <v>906028</v>
      </c>
      <c r="L644" s="5">
        <v>0</v>
      </c>
      <c r="M644" s="4">
        <v>1</v>
      </c>
      <c r="N644" s="2">
        <v>1</v>
      </c>
      <c r="O644" s="5">
        <v>0</v>
      </c>
      <c r="P644" s="5">
        <v>8305</v>
      </c>
      <c r="Q644" s="3">
        <v>46143</v>
      </c>
      <c r="R644" s="6">
        <f t="shared" si="22"/>
        <v>0</v>
      </c>
    </row>
    <row r="645" spans="1:18" x14ac:dyDescent="0.25">
      <c r="A645" s="2" t="s">
        <v>578</v>
      </c>
      <c r="B645" s="2" t="s">
        <v>1943</v>
      </c>
      <c r="C645" s="2" t="s">
        <v>1944</v>
      </c>
      <c r="D645" s="2" t="s">
        <v>1945</v>
      </c>
      <c r="E645" s="3">
        <v>45925</v>
      </c>
      <c r="F645" s="3">
        <v>46290</v>
      </c>
      <c r="G645" s="4">
        <v>0</v>
      </c>
      <c r="H645" s="10">
        <v>0.10249999999999999</v>
      </c>
      <c r="I645" s="10">
        <v>0.1012</v>
      </c>
      <c r="J645" s="5">
        <v>399000</v>
      </c>
      <c r="K645" s="5">
        <v>395600</v>
      </c>
      <c r="L645" s="5">
        <v>3400</v>
      </c>
      <c r="M645" s="4">
        <v>0.99</v>
      </c>
      <c r="N645" s="2">
        <v>4</v>
      </c>
      <c r="O645" s="5">
        <v>0</v>
      </c>
      <c r="P645" s="5">
        <v>3263</v>
      </c>
      <c r="Q645" s="3">
        <v>46023</v>
      </c>
      <c r="R645" s="6">
        <f t="shared" si="22"/>
        <v>0</v>
      </c>
    </row>
    <row r="646" spans="1:18" x14ac:dyDescent="0.25">
      <c r="A646" s="2" t="s">
        <v>578</v>
      </c>
      <c r="B646" s="2" t="s">
        <v>1946</v>
      </c>
      <c r="C646" s="2" t="s">
        <v>1947</v>
      </c>
      <c r="D646" s="2" t="s">
        <v>1948</v>
      </c>
      <c r="E646" s="3">
        <v>45926</v>
      </c>
      <c r="F646" s="3">
        <v>46382</v>
      </c>
      <c r="G646" s="4">
        <v>0</v>
      </c>
      <c r="H646" s="10">
        <v>0.1</v>
      </c>
      <c r="I646" s="10">
        <v>9.9000000000000005E-2</v>
      </c>
      <c r="J646" s="5">
        <v>630500</v>
      </c>
      <c r="K646" s="5">
        <v>580500</v>
      </c>
      <c r="L646" s="5">
        <v>50000</v>
      </c>
      <c r="M646" s="4">
        <v>0.92</v>
      </c>
      <c r="N646" s="2">
        <v>1</v>
      </c>
      <c r="O646" s="5">
        <v>0</v>
      </c>
      <c r="P646" s="5">
        <v>4838</v>
      </c>
      <c r="Q646" s="3">
        <v>46023</v>
      </c>
      <c r="R646" s="6">
        <f t="shared" ref="R646:R693" si="23">G646*K646</f>
        <v>0</v>
      </c>
    </row>
    <row r="647" spans="1:18" x14ac:dyDescent="0.25">
      <c r="A647" s="2" t="s">
        <v>578</v>
      </c>
      <c r="B647" s="2" t="s">
        <v>1949</v>
      </c>
      <c r="C647" s="2" t="s">
        <v>1950</v>
      </c>
      <c r="D647" s="2" t="s">
        <v>1951</v>
      </c>
      <c r="E647" s="3">
        <v>45926</v>
      </c>
      <c r="F647" s="3">
        <v>46291</v>
      </c>
      <c r="G647" s="4">
        <v>0</v>
      </c>
      <c r="H647" s="10">
        <v>0.1075</v>
      </c>
      <c r="I647" s="10">
        <v>0.1026</v>
      </c>
      <c r="J647" s="5">
        <v>539000</v>
      </c>
      <c r="K647" s="5">
        <v>536791</v>
      </c>
      <c r="L647" s="5">
        <v>2209</v>
      </c>
      <c r="M647" s="4">
        <v>1</v>
      </c>
      <c r="N647" s="2">
        <v>2</v>
      </c>
      <c r="O647" s="5">
        <v>0</v>
      </c>
      <c r="P647" s="5">
        <v>4809</v>
      </c>
      <c r="Q647" s="3">
        <v>46054</v>
      </c>
      <c r="R647" s="6">
        <f t="shared" si="23"/>
        <v>0</v>
      </c>
    </row>
    <row r="648" spans="1:18" x14ac:dyDescent="0.25">
      <c r="A648" s="2" t="s">
        <v>578</v>
      </c>
      <c r="B648" s="2" t="s">
        <v>1952</v>
      </c>
      <c r="C648" s="2" t="s">
        <v>1953</v>
      </c>
      <c r="D648" s="2" t="s">
        <v>1954</v>
      </c>
      <c r="E648" s="3">
        <v>45926</v>
      </c>
      <c r="F648" s="3">
        <v>46291</v>
      </c>
      <c r="G648" s="4">
        <v>0</v>
      </c>
      <c r="H648" s="10">
        <v>0.11749999999999999</v>
      </c>
      <c r="I648" s="10">
        <v>0.11749999999999999</v>
      </c>
      <c r="J648" s="5">
        <v>577100</v>
      </c>
      <c r="K648" s="5">
        <v>574920</v>
      </c>
      <c r="L648" s="5">
        <v>2180</v>
      </c>
      <c r="M648" s="4">
        <v>1</v>
      </c>
      <c r="N648" s="2">
        <v>3</v>
      </c>
      <c r="O648" s="5">
        <v>0</v>
      </c>
      <c r="P648" s="5">
        <v>5326</v>
      </c>
      <c r="Q648" s="3">
        <v>46023</v>
      </c>
      <c r="R648" s="6">
        <f t="shared" si="23"/>
        <v>0</v>
      </c>
    </row>
    <row r="649" spans="1:18" x14ac:dyDescent="0.25">
      <c r="A649" s="2" t="s">
        <v>578</v>
      </c>
      <c r="B649" s="2" t="s">
        <v>1955</v>
      </c>
      <c r="C649" s="2" t="s">
        <v>1956</v>
      </c>
      <c r="D649" s="2" t="s">
        <v>1957</v>
      </c>
      <c r="E649" s="3">
        <v>45929</v>
      </c>
      <c r="F649" s="3">
        <v>46294</v>
      </c>
      <c r="G649" s="4">
        <v>0</v>
      </c>
      <c r="H649" s="10">
        <v>0.1075</v>
      </c>
      <c r="I649" s="10">
        <v>0.1037</v>
      </c>
      <c r="J649" s="5">
        <v>271940</v>
      </c>
      <c r="K649" s="5">
        <v>270520</v>
      </c>
      <c r="L649" s="5">
        <v>1420</v>
      </c>
      <c r="M649" s="4">
        <v>0.99</v>
      </c>
      <c r="N649" s="2">
        <v>5</v>
      </c>
      <c r="O649" s="5">
        <v>0</v>
      </c>
      <c r="P649" s="5">
        <v>2012</v>
      </c>
      <c r="Q649" s="3">
        <v>46023</v>
      </c>
      <c r="R649" s="6">
        <f t="shared" si="23"/>
        <v>0</v>
      </c>
    </row>
    <row r="650" spans="1:18" x14ac:dyDescent="0.25">
      <c r="A650" s="2" t="s">
        <v>578</v>
      </c>
      <c r="B650" s="2" t="s">
        <v>1958</v>
      </c>
      <c r="C650" s="2" t="s">
        <v>1959</v>
      </c>
      <c r="D650" s="2" t="s">
        <v>1960</v>
      </c>
      <c r="E650" s="3">
        <v>45929</v>
      </c>
      <c r="F650" s="3">
        <v>46294</v>
      </c>
      <c r="G650" s="4">
        <v>0</v>
      </c>
      <c r="H650" s="10">
        <v>0.10249999999999999</v>
      </c>
      <c r="I650" s="10">
        <v>0.1012</v>
      </c>
      <c r="J650" s="5">
        <v>562500</v>
      </c>
      <c r="K650" s="5">
        <v>562500</v>
      </c>
      <c r="L650" s="5">
        <v>0</v>
      </c>
      <c r="M650" s="4">
        <v>1</v>
      </c>
      <c r="N650" s="2">
        <v>1</v>
      </c>
      <c r="O650" s="5">
        <v>0</v>
      </c>
      <c r="P650" s="5">
        <v>4805</v>
      </c>
      <c r="Q650" s="3">
        <v>46023</v>
      </c>
      <c r="R650" s="6">
        <f t="shared" si="23"/>
        <v>0</v>
      </c>
    </row>
    <row r="651" spans="1:18" x14ac:dyDescent="0.25">
      <c r="A651" s="2" t="s">
        <v>578</v>
      </c>
      <c r="B651" s="2" t="s">
        <v>1961</v>
      </c>
      <c r="C651" s="2" t="s">
        <v>1962</v>
      </c>
      <c r="D651" s="2" t="s">
        <v>1963</v>
      </c>
      <c r="E651" s="3">
        <v>45929</v>
      </c>
      <c r="F651" s="3">
        <v>46294</v>
      </c>
      <c r="G651" s="4">
        <v>0</v>
      </c>
      <c r="H651" s="10">
        <v>0.1</v>
      </c>
      <c r="I651" s="10">
        <v>9.8199999999999996E-2</v>
      </c>
      <c r="J651" s="5">
        <v>641700</v>
      </c>
      <c r="K651" s="5">
        <v>641700</v>
      </c>
      <c r="L651" s="5">
        <v>0</v>
      </c>
      <c r="M651" s="4">
        <v>1</v>
      </c>
      <c r="N651" s="2">
        <v>1</v>
      </c>
      <c r="O651" s="5">
        <v>0</v>
      </c>
      <c r="P651" s="5">
        <v>5348</v>
      </c>
      <c r="Q651" s="3">
        <v>46023</v>
      </c>
      <c r="R651" s="6">
        <f t="shared" si="23"/>
        <v>0</v>
      </c>
    </row>
    <row r="652" spans="1:18" x14ac:dyDescent="0.25">
      <c r="A652" s="2" t="s">
        <v>578</v>
      </c>
      <c r="B652" s="2" t="s">
        <v>1964</v>
      </c>
      <c r="C652" s="2" t="s">
        <v>1965</v>
      </c>
      <c r="D652" s="2" t="s">
        <v>1966</v>
      </c>
      <c r="E652" s="3">
        <v>45930</v>
      </c>
      <c r="F652" s="3">
        <v>46295</v>
      </c>
      <c r="G652" s="4">
        <v>0</v>
      </c>
      <c r="H652" s="10">
        <v>0.10249999999999999</v>
      </c>
      <c r="I652" s="10">
        <v>0.1012</v>
      </c>
      <c r="J652" s="5">
        <v>520000</v>
      </c>
      <c r="K652" s="5">
        <v>450000</v>
      </c>
      <c r="L652" s="5">
        <v>70000</v>
      </c>
      <c r="M652" s="4">
        <v>0.87</v>
      </c>
      <c r="N652" s="2">
        <v>1</v>
      </c>
      <c r="O652" s="5">
        <v>0</v>
      </c>
      <c r="P652" s="5">
        <v>3844</v>
      </c>
      <c r="Q652" s="3">
        <v>46054</v>
      </c>
      <c r="R652" s="6">
        <f t="shared" si="23"/>
        <v>0</v>
      </c>
    </row>
    <row r="653" spans="1:18" x14ac:dyDescent="0.25">
      <c r="A653" s="2" t="s">
        <v>578</v>
      </c>
      <c r="B653" s="2" t="s">
        <v>1967</v>
      </c>
      <c r="C653" s="2" t="s">
        <v>1968</v>
      </c>
      <c r="D653" s="2" t="s">
        <v>1969</v>
      </c>
      <c r="E653" s="3">
        <v>45930</v>
      </c>
      <c r="F653" s="3">
        <v>46295</v>
      </c>
      <c r="G653" s="4">
        <v>0</v>
      </c>
      <c r="H653" s="10">
        <v>0.1125</v>
      </c>
      <c r="I653" s="10">
        <v>0.1036</v>
      </c>
      <c r="J653" s="5">
        <v>554334</v>
      </c>
      <c r="K653" s="5">
        <v>530205</v>
      </c>
      <c r="L653" s="5">
        <v>24129</v>
      </c>
      <c r="M653" s="4">
        <v>0.96</v>
      </c>
      <c r="N653" s="2">
        <v>5</v>
      </c>
      <c r="O653" s="5">
        <v>0</v>
      </c>
      <c r="P653" s="5">
        <v>4456</v>
      </c>
      <c r="Q653" s="3">
        <v>46023</v>
      </c>
      <c r="R653" s="6">
        <f t="shared" si="23"/>
        <v>0</v>
      </c>
    </row>
    <row r="654" spans="1:18" x14ac:dyDescent="0.25">
      <c r="A654" s="2" t="s">
        <v>578</v>
      </c>
      <c r="B654" s="2" t="s">
        <v>1970</v>
      </c>
      <c r="C654" s="2" t="s">
        <v>1971</v>
      </c>
      <c r="D654" s="2" t="s">
        <v>1972</v>
      </c>
      <c r="E654" s="3">
        <v>45931</v>
      </c>
      <c r="F654" s="3">
        <v>46478</v>
      </c>
      <c r="G654" s="4">
        <v>0</v>
      </c>
      <c r="H654" s="10">
        <v>0.10249999999999999</v>
      </c>
      <c r="I654" s="10">
        <v>0.10050000000000001</v>
      </c>
      <c r="J654" s="5">
        <v>867000</v>
      </c>
      <c r="K654" s="5">
        <v>561000</v>
      </c>
      <c r="L654" s="5">
        <v>306000</v>
      </c>
      <c r="M654" s="4">
        <v>0.65</v>
      </c>
      <c r="N654" s="2">
        <v>1</v>
      </c>
      <c r="O654" s="5">
        <v>0</v>
      </c>
      <c r="P654" s="5">
        <v>4792</v>
      </c>
      <c r="Q654" s="3">
        <v>46023</v>
      </c>
      <c r="R654" s="6">
        <f t="shared" si="23"/>
        <v>0</v>
      </c>
    </row>
    <row r="655" spans="1:18" x14ac:dyDescent="0.25">
      <c r="A655" s="2" t="s">
        <v>578</v>
      </c>
      <c r="B655" s="2" t="s">
        <v>1973</v>
      </c>
      <c r="C655" s="2" t="s">
        <v>1974</v>
      </c>
      <c r="D655" s="2" t="s">
        <v>1975</v>
      </c>
      <c r="E655" s="3">
        <v>45932</v>
      </c>
      <c r="F655" s="3">
        <v>46297</v>
      </c>
      <c r="G655" s="4">
        <v>0</v>
      </c>
      <c r="H655" s="10">
        <v>0.1075</v>
      </c>
      <c r="I655" s="10">
        <v>0.1026</v>
      </c>
      <c r="J655" s="5">
        <v>483000</v>
      </c>
      <c r="K655" s="5">
        <v>483000</v>
      </c>
      <c r="L655" s="5">
        <v>0</v>
      </c>
      <c r="M655" s="4">
        <v>1</v>
      </c>
      <c r="N655" s="2">
        <v>2</v>
      </c>
      <c r="O655" s="5">
        <v>0</v>
      </c>
      <c r="P655" s="5">
        <v>3959</v>
      </c>
      <c r="Q655" s="3">
        <v>46023</v>
      </c>
      <c r="R655" s="6">
        <f t="shared" si="23"/>
        <v>0</v>
      </c>
    </row>
    <row r="656" spans="1:18" x14ac:dyDescent="0.25">
      <c r="A656" s="2" t="s">
        <v>578</v>
      </c>
      <c r="B656" s="2" t="s">
        <v>1976</v>
      </c>
      <c r="C656" s="2" t="s">
        <v>1977</v>
      </c>
      <c r="D656" s="2" t="s">
        <v>1978</v>
      </c>
      <c r="E656" s="3">
        <v>45933</v>
      </c>
      <c r="F656" s="3">
        <v>46298</v>
      </c>
      <c r="G656" s="4">
        <v>0</v>
      </c>
      <c r="H656" s="10">
        <v>0.11</v>
      </c>
      <c r="I656" s="10">
        <v>0.1031</v>
      </c>
      <c r="J656" s="5">
        <v>585000</v>
      </c>
      <c r="K656" s="5">
        <v>585000</v>
      </c>
      <c r="L656" s="5">
        <v>0</v>
      </c>
      <c r="M656" s="4">
        <v>1</v>
      </c>
      <c r="N656" s="2">
        <v>1</v>
      </c>
      <c r="O656" s="5">
        <v>0</v>
      </c>
      <c r="P656" s="5">
        <v>5362</v>
      </c>
      <c r="Q656" s="3">
        <v>46023</v>
      </c>
      <c r="R656" s="6">
        <f t="shared" si="23"/>
        <v>0</v>
      </c>
    </row>
    <row r="657" spans="1:18" x14ac:dyDescent="0.25">
      <c r="A657" s="2" t="s">
        <v>578</v>
      </c>
      <c r="B657" s="2" t="s">
        <v>1979</v>
      </c>
      <c r="C657" s="2" t="s">
        <v>1980</v>
      </c>
      <c r="D657" s="2" t="s">
        <v>1981</v>
      </c>
      <c r="E657" s="3">
        <v>45933</v>
      </c>
      <c r="F657" s="3">
        <v>46298</v>
      </c>
      <c r="G657" s="4">
        <v>0</v>
      </c>
      <c r="H657" s="10">
        <v>0.1075</v>
      </c>
      <c r="I657" s="10">
        <v>0.1026</v>
      </c>
      <c r="J657" s="5">
        <v>190420</v>
      </c>
      <c r="K657" s="5">
        <v>139500</v>
      </c>
      <c r="L657" s="5">
        <v>50920</v>
      </c>
      <c r="M657" s="4">
        <v>0.73</v>
      </c>
      <c r="N657" s="2">
        <v>1</v>
      </c>
      <c r="O657" s="5">
        <v>0</v>
      </c>
      <c r="P657" s="5">
        <v>1250</v>
      </c>
      <c r="Q657" s="3">
        <v>46023</v>
      </c>
      <c r="R657" s="6">
        <f t="shared" si="23"/>
        <v>0</v>
      </c>
    </row>
    <row r="658" spans="1:18" x14ac:dyDescent="0.25">
      <c r="A658" s="2" t="s">
        <v>578</v>
      </c>
      <c r="B658" s="2" t="s">
        <v>1982</v>
      </c>
      <c r="C658" s="2" t="s">
        <v>1983</v>
      </c>
      <c r="D658" s="2" t="s">
        <v>1984</v>
      </c>
      <c r="E658" s="3">
        <v>45938</v>
      </c>
      <c r="F658" s="3">
        <v>46303</v>
      </c>
      <c r="G658" s="4">
        <v>0</v>
      </c>
      <c r="H658" s="10">
        <v>0.1075</v>
      </c>
      <c r="I658" s="10">
        <v>0.1026</v>
      </c>
      <c r="J658" s="5">
        <v>453600</v>
      </c>
      <c r="K658" s="5">
        <v>393009</v>
      </c>
      <c r="L658" s="5">
        <v>60591</v>
      </c>
      <c r="M658" s="4">
        <v>0.87</v>
      </c>
      <c r="N658" s="2">
        <v>2</v>
      </c>
      <c r="O658" s="5">
        <v>0</v>
      </c>
      <c r="P658" s="5">
        <v>3064</v>
      </c>
      <c r="Q658" s="3">
        <v>46023</v>
      </c>
      <c r="R658" s="6">
        <f t="shared" si="23"/>
        <v>0</v>
      </c>
    </row>
    <row r="659" spans="1:18" x14ac:dyDescent="0.25">
      <c r="A659" s="2" t="s">
        <v>578</v>
      </c>
      <c r="B659" s="2" t="s">
        <v>1985</v>
      </c>
      <c r="C659" s="2" t="s">
        <v>1986</v>
      </c>
      <c r="D659" s="2" t="s">
        <v>1987</v>
      </c>
      <c r="E659" s="3">
        <v>45939</v>
      </c>
      <c r="F659" s="3">
        <v>46304</v>
      </c>
      <c r="G659" s="4">
        <v>0</v>
      </c>
      <c r="H659" s="10">
        <v>0.1075</v>
      </c>
      <c r="I659" s="10">
        <v>0.1026</v>
      </c>
      <c r="J659" s="5">
        <v>170800</v>
      </c>
      <c r="K659" s="5">
        <v>170800</v>
      </c>
      <c r="L659" s="5">
        <v>0</v>
      </c>
      <c r="M659" s="4">
        <v>1</v>
      </c>
      <c r="N659" s="2">
        <v>4</v>
      </c>
      <c r="O659" s="5">
        <v>0</v>
      </c>
      <c r="P659" s="5">
        <v>1113</v>
      </c>
      <c r="Q659" s="3">
        <v>46023</v>
      </c>
      <c r="R659" s="6">
        <f t="shared" si="23"/>
        <v>0</v>
      </c>
    </row>
    <row r="660" spans="1:18" x14ac:dyDescent="0.25">
      <c r="A660" s="2" t="s">
        <v>578</v>
      </c>
      <c r="B660" s="2" t="s">
        <v>1988</v>
      </c>
      <c r="C660" s="2" t="s">
        <v>1989</v>
      </c>
      <c r="D660" s="2" t="s">
        <v>1990</v>
      </c>
      <c r="E660" s="3">
        <v>45939</v>
      </c>
      <c r="F660" s="3">
        <v>46304</v>
      </c>
      <c r="G660" s="4">
        <v>0</v>
      </c>
      <c r="H660" s="10">
        <v>0.105</v>
      </c>
      <c r="I660" s="10">
        <v>0.1021</v>
      </c>
      <c r="J660" s="5">
        <v>527000</v>
      </c>
      <c r="K660" s="5">
        <v>477000</v>
      </c>
      <c r="L660" s="5">
        <v>50000</v>
      </c>
      <c r="M660" s="4">
        <v>0.91</v>
      </c>
      <c r="N660" s="2">
        <v>1</v>
      </c>
      <c r="O660" s="5">
        <v>0</v>
      </c>
      <c r="P660" s="5">
        <v>4174</v>
      </c>
      <c r="Q660" s="3">
        <v>46023</v>
      </c>
      <c r="R660" s="6">
        <f t="shared" si="23"/>
        <v>0</v>
      </c>
    </row>
    <row r="661" spans="1:18" x14ac:dyDescent="0.25">
      <c r="A661" s="2" t="s">
        <v>578</v>
      </c>
      <c r="B661" s="2" t="s">
        <v>1991</v>
      </c>
      <c r="C661" s="2" t="s">
        <v>1992</v>
      </c>
      <c r="D661" s="2" t="s">
        <v>1993</v>
      </c>
      <c r="E661" s="3">
        <v>45940</v>
      </c>
      <c r="F661" s="3">
        <v>46305</v>
      </c>
      <c r="G661" s="4">
        <v>0</v>
      </c>
      <c r="H661" s="10">
        <v>0.115</v>
      </c>
      <c r="I661" s="10">
        <v>0.115</v>
      </c>
      <c r="J661" s="5">
        <v>587950</v>
      </c>
      <c r="K661" s="5">
        <v>559080</v>
      </c>
      <c r="L661" s="5">
        <v>28870</v>
      </c>
      <c r="M661" s="4">
        <v>0.95</v>
      </c>
      <c r="N661" s="2">
        <v>2</v>
      </c>
      <c r="O661" s="5">
        <v>0</v>
      </c>
      <c r="P661" s="5">
        <v>5089</v>
      </c>
      <c r="Q661" s="3">
        <v>46023</v>
      </c>
      <c r="R661" s="6">
        <f t="shared" si="23"/>
        <v>0</v>
      </c>
    </row>
    <row r="662" spans="1:18" x14ac:dyDescent="0.25">
      <c r="A662" s="2" t="s">
        <v>578</v>
      </c>
      <c r="B662" s="2" t="s">
        <v>1994</v>
      </c>
      <c r="C662" s="2" t="s">
        <v>1995</v>
      </c>
      <c r="D662" s="2" t="s">
        <v>1996</v>
      </c>
      <c r="E662" s="3">
        <v>45944</v>
      </c>
      <c r="F662" s="3">
        <v>46309</v>
      </c>
      <c r="G662" s="4">
        <v>0</v>
      </c>
      <c r="H662" s="10">
        <v>0.10249999999999999</v>
      </c>
      <c r="I662" s="10">
        <v>0.1012</v>
      </c>
      <c r="J662" s="5">
        <v>666000</v>
      </c>
      <c r="K662" s="5">
        <v>666000</v>
      </c>
      <c r="L662" s="5">
        <v>0</v>
      </c>
      <c r="M662" s="4">
        <v>1</v>
      </c>
      <c r="N662" s="2">
        <v>1</v>
      </c>
      <c r="O662" s="5">
        <v>0</v>
      </c>
      <c r="P662" s="5">
        <v>4930</v>
      </c>
      <c r="Q662" s="3">
        <v>46023</v>
      </c>
      <c r="R662" s="6">
        <f t="shared" si="23"/>
        <v>0</v>
      </c>
    </row>
    <row r="663" spans="1:18" x14ac:dyDescent="0.25">
      <c r="A663" s="2" t="s">
        <v>578</v>
      </c>
      <c r="B663" s="2" t="s">
        <v>1997</v>
      </c>
      <c r="C663" s="2" t="s">
        <v>1998</v>
      </c>
      <c r="D663" s="2" t="s">
        <v>1999</v>
      </c>
      <c r="E663" s="3">
        <v>45945</v>
      </c>
      <c r="F663" s="3">
        <v>46310</v>
      </c>
      <c r="G663" s="4">
        <v>0</v>
      </c>
      <c r="H663" s="10">
        <v>0.115</v>
      </c>
      <c r="I663" s="10">
        <v>0.1147</v>
      </c>
      <c r="J663" s="5">
        <v>243600</v>
      </c>
      <c r="K663" s="5">
        <v>138763</v>
      </c>
      <c r="L663" s="5">
        <v>104837</v>
      </c>
      <c r="M663" s="4">
        <v>0.56999999999999995</v>
      </c>
      <c r="N663" s="2">
        <v>3</v>
      </c>
      <c r="O663" s="5">
        <v>0</v>
      </c>
      <c r="P663" s="5">
        <v>150</v>
      </c>
      <c r="Q663" s="3">
        <v>46023</v>
      </c>
      <c r="R663" s="6">
        <f t="shared" si="23"/>
        <v>0</v>
      </c>
    </row>
    <row r="664" spans="1:18" x14ac:dyDescent="0.25">
      <c r="A664" s="2" t="s">
        <v>578</v>
      </c>
      <c r="B664" s="2" t="s">
        <v>2000</v>
      </c>
      <c r="C664" s="2" t="s">
        <v>2001</v>
      </c>
      <c r="D664" s="2" t="s">
        <v>2002</v>
      </c>
      <c r="E664" s="3">
        <v>45946</v>
      </c>
      <c r="F664" s="3">
        <v>46311</v>
      </c>
      <c r="G664" s="4">
        <v>0</v>
      </c>
      <c r="H664" s="10">
        <v>9.9900000000000003E-2</v>
      </c>
      <c r="I664" s="10">
        <v>9.9900000000000003E-2</v>
      </c>
      <c r="J664" s="5">
        <v>477000</v>
      </c>
      <c r="K664" s="5">
        <v>477000</v>
      </c>
      <c r="L664" s="5">
        <v>0</v>
      </c>
      <c r="M664" s="4">
        <v>1</v>
      </c>
      <c r="N664" s="2">
        <v>1</v>
      </c>
      <c r="O664" s="5">
        <v>0</v>
      </c>
      <c r="P664" s="5">
        <v>3971</v>
      </c>
      <c r="Q664" s="3">
        <v>46023</v>
      </c>
      <c r="R664" s="6">
        <f t="shared" si="23"/>
        <v>0</v>
      </c>
    </row>
    <row r="665" spans="1:18" x14ac:dyDescent="0.25">
      <c r="A665" s="2" t="s">
        <v>578</v>
      </c>
      <c r="B665" s="2" t="s">
        <v>2003</v>
      </c>
      <c r="C665" s="2" t="s">
        <v>2004</v>
      </c>
      <c r="D665" s="2" t="s">
        <v>2005</v>
      </c>
      <c r="E665" s="3">
        <v>45946</v>
      </c>
      <c r="F665" s="3">
        <v>46311</v>
      </c>
      <c r="G665" s="4">
        <v>0</v>
      </c>
      <c r="H665" s="10">
        <v>0.11</v>
      </c>
      <c r="I665" s="10">
        <v>0.1031</v>
      </c>
      <c r="J665" s="5">
        <v>509450</v>
      </c>
      <c r="K665" s="5">
        <v>405450</v>
      </c>
      <c r="L665" s="5">
        <v>104000</v>
      </c>
      <c r="M665" s="4">
        <v>0.8</v>
      </c>
      <c r="N665" s="2">
        <v>1</v>
      </c>
      <c r="O665" s="5">
        <v>0</v>
      </c>
      <c r="P665" s="5">
        <v>3717</v>
      </c>
      <c r="Q665" s="3">
        <v>46023</v>
      </c>
      <c r="R665" s="6">
        <f t="shared" si="23"/>
        <v>0</v>
      </c>
    </row>
    <row r="666" spans="1:18" x14ac:dyDescent="0.25">
      <c r="A666" s="2" t="s">
        <v>578</v>
      </c>
      <c r="B666" s="2" t="s">
        <v>2006</v>
      </c>
      <c r="C666" s="2" t="s">
        <v>2007</v>
      </c>
      <c r="D666" s="2" t="s">
        <v>2008</v>
      </c>
      <c r="E666" s="3">
        <v>45947</v>
      </c>
      <c r="F666" s="3">
        <v>46494</v>
      </c>
      <c r="G666" s="4">
        <v>0</v>
      </c>
      <c r="H666" s="10">
        <v>0.10249999999999999</v>
      </c>
      <c r="I666" s="10">
        <v>0.1012</v>
      </c>
      <c r="J666" s="5">
        <v>199500</v>
      </c>
      <c r="K666" s="5">
        <v>139500</v>
      </c>
      <c r="L666" s="5">
        <v>60000</v>
      </c>
      <c r="M666" s="4">
        <v>0.7</v>
      </c>
      <c r="N666" s="2">
        <v>1</v>
      </c>
      <c r="O666" s="5">
        <v>0</v>
      </c>
      <c r="P666" s="5">
        <v>1192</v>
      </c>
      <c r="Q666" s="3">
        <v>46082</v>
      </c>
      <c r="R666" s="6">
        <f t="shared" si="23"/>
        <v>0</v>
      </c>
    </row>
    <row r="667" spans="1:18" x14ac:dyDescent="0.25">
      <c r="A667" s="2" t="s">
        <v>578</v>
      </c>
      <c r="B667" s="2" t="s">
        <v>2009</v>
      </c>
      <c r="C667" s="2" t="s">
        <v>2010</v>
      </c>
      <c r="D667" s="2" t="s">
        <v>2011</v>
      </c>
      <c r="E667" s="3">
        <v>45947</v>
      </c>
      <c r="F667" s="3">
        <v>46494</v>
      </c>
      <c r="G667" s="4">
        <v>0</v>
      </c>
      <c r="H667" s="10">
        <v>0.10249999999999999</v>
      </c>
      <c r="I667" s="10">
        <v>0.1012</v>
      </c>
      <c r="J667" s="5">
        <v>273000</v>
      </c>
      <c r="K667" s="5">
        <v>234000</v>
      </c>
      <c r="L667" s="5">
        <v>39000</v>
      </c>
      <c r="M667" s="4">
        <v>0.86</v>
      </c>
      <c r="N667" s="2">
        <v>1</v>
      </c>
      <c r="O667" s="5">
        <v>0</v>
      </c>
      <c r="P667" s="5">
        <v>1999</v>
      </c>
      <c r="Q667" s="3">
        <v>46082</v>
      </c>
      <c r="R667" s="6">
        <f t="shared" si="23"/>
        <v>0</v>
      </c>
    </row>
    <row r="668" spans="1:18" x14ac:dyDescent="0.25">
      <c r="A668" s="2" t="s">
        <v>578</v>
      </c>
      <c r="B668" s="2" t="s">
        <v>2012</v>
      </c>
      <c r="C668" s="2" t="s">
        <v>2013</v>
      </c>
      <c r="D668" s="2" t="s">
        <v>2014</v>
      </c>
      <c r="E668" s="3">
        <v>45950</v>
      </c>
      <c r="F668" s="3">
        <v>46315</v>
      </c>
      <c r="G668" s="4">
        <v>0</v>
      </c>
      <c r="H668" s="10">
        <v>0.11</v>
      </c>
      <c r="I668" s="10">
        <v>0.105</v>
      </c>
      <c r="J668" s="5">
        <v>208000</v>
      </c>
      <c r="K668" s="5">
        <v>208000</v>
      </c>
      <c r="L668" s="5">
        <v>0</v>
      </c>
      <c r="M668" s="4">
        <v>1</v>
      </c>
      <c r="N668" s="2">
        <v>1</v>
      </c>
      <c r="O668" s="5">
        <v>0</v>
      </c>
      <c r="P668" s="5">
        <v>1907</v>
      </c>
      <c r="Q668" s="3">
        <v>46023</v>
      </c>
      <c r="R668" s="6">
        <f t="shared" si="23"/>
        <v>0</v>
      </c>
    </row>
    <row r="669" spans="1:18" x14ac:dyDescent="0.25">
      <c r="A669" s="2" t="s">
        <v>578</v>
      </c>
      <c r="B669" s="2" t="s">
        <v>2015</v>
      </c>
      <c r="C669" s="2" t="s">
        <v>2016</v>
      </c>
      <c r="D669" s="2" t="s">
        <v>2017</v>
      </c>
      <c r="E669" s="3">
        <v>45951</v>
      </c>
      <c r="F669" s="3">
        <v>46316</v>
      </c>
      <c r="G669" s="4">
        <v>0</v>
      </c>
      <c r="H669" s="10">
        <v>0.115</v>
      </c>
      <c r="I669" s="10">
        <v>0.1125</v>
      </c>
      <c r="J669" s="5">
        <v>462650</v>
      </c>
      <c r="K669" s="5">
        <v>391500</v>
      </c>
      <c r="L669" s="5">
        <v>71150</v>
      </c>
      <c r="M669" s="4">
        <v>0.85</v>
      </c>
      <c r="N669" s="2">
        <v>1</v>
      </c>
      <c r="O669" s="5">
        <v>0</v>
      </c>
      <c r="P669" s="5">
        <v>3752</v>
      </c>
      <c r="Q669" s="3">
        <v>46023</v>
      </c>
      <c r="R669" s="6">
        <f t="shared" si="23"/>
        <v>0</v>
      </c>
    </row>
    <row r="670" spans="1:18" x14ac:dyDescent="0.25">
      <c r="A670" s="2" t="s">
        <v>578</v>
      </c>
      <c r="B670" s="2" t="s">
        <v>2018</v>
      </c>
      <c r="C670" s="2" t="s">
        <v>2019</v>
      </c>
      <c r="D670" s="2" t="s">
        <v>2020</v>
      </c>
      <c r="E670" s="3">
        <v>45951</v>
      </c>
      <c r="F670" s="3">
        <v>46316</v>
      </c>
      <c r="G670" s="4">
        <v>0</v>
      </c>
      <c r="H670" s="10">
        <v>0.1099</v>
      </c>
      <c r="I670" s="10">
        <v>0.1031</v>
      </c>
      <c r="J670" s="5">
        <v>283500</v>
      </c>
      <c r="K670" s="5">
        <v>250750</v>
      </c>
      <c r="L670" s="5">
        <v>32750</v>
      </c>
      <c r="M670" s="4">
        <v>0.88</v>
      </c>
      <c r="N670" s="2">
        <v>1</v>
      </c>
      <c r="O670" s="5">
        <v>0</v>
      </c>
      <c r="P670" s="5">
        <v>2296</v>
      </c>
      <c r="Q670" s="3">
        <v>46023</v>
      </c>
      <c r="R670" s="6">
        <f t="shared" si="23"/>
        <v>0</v>
      </c>
    </row>
    <row r="671" spans="1:18" x14ac:dyDescent="0.25">
      <c r="A671" s="2" t="s">
        <v>578</v>
      </c>
      <c r="B671" s="2" t="s">
        <v>2021</v>
      </c>
      <c r="C671" s="2" t="s">
        <v>2022</v>
      </c>
      <c r="D671" s="2" t="s">
        <v>2023</v>
      </c>
      <c r="E671" s="3">
        <v>45952</v>
      </c>
      <c r="F671" s="3">
        <v>46499</v>
      </c>
      <c r="G671" s="4">
        <v>0</v>
      </c>
      <c r="H671" s="10">
        <v>9.9900000000000003E-2</v>
      </c>
      <c r="I671" s="10">
        <v>9.9199999999999997E-2</v>
      </c>
      <c r="J671" s="5">
        <v>456300</v>
      </c>
      <c r="K671" s="5">
        <v>456300</v>
      </c>
      <c r="L671" s="5">
        <v>0</v>
      </c>
      <c r="M671" s="4">
        <v>1</v>
      </c>
      <c r="N671" s="2">
        <v>1</v>
      </c>
      <c r="O671" s="5">
        <v>0</v>
      </c>
      <c r="P671" s="5">
        <v>3799</v>
      </c>
      <c r="Q671" s="3">
        <v>46023</v>
      </c>
      <c r="R671" s="6">
        <f t="shared" si="23"/>
        <v>0</v>
      </c>
    </row>
    <row r="672" spans="1:18" x14ac:dyDescent="0.25">
      <c r="A672" s="2" t="s">
        <v>578</v>
      </c>
      <c r="B672" s="2" t="s">
        <v>2024</v>
      </c>
      <c r="C672" s="2" t="s">
        <v>2025</v>
      </c>
      <c r="D672" s="2" t="s">
        <v>2026</v>
      </c>
      <c r="E672" s="3">
        <v>45952</v>
      </c>
      <c r="F672" s="3">
        <v>46317</v>
      </c>
      <c r="G672" s="4">
        <v>0</v>
      </c>
      <c r="H672" s="10">
        <v>0.1099</v>
      </c>
      <c r="I672" s="10">
        <v>0.1023</v>
      </c>
      <c r="J672" s="5">
        <v>463800</v>
      </c>
      <c r="K672" s="5">
        <v>432300</v>
      </c>
      <c r="L672" s="5">
        <v>31500</v>
      </c>
      <c r="M672" s="4">
        <v>0.93</v>
      </c>
      <c r="N672" s="2">
        <v>3</v>
      </c>
      <c r="O672" s="5">
        <v>0</v>
      </c>
      <c r="P672" s="5">
        <v>3582</v>
      </c>
      <c r="Q672" s="3">
        <v>46023</v>
      </c>
      <c r="R672" s="6">
        <f t="shared" si="23"/>
        <v>0</v>
      </c>
    </row>
    <row r="673" spans="1:18" x14ac:dyDescent="0.25">
      <c r="A673" s="2" t="s">
        <v>578</v>
      </c>
      <c r="B673" s="2" t="s">
        <v>2027</v>
      </c>
      <c r="C673" s="2" t="s">
        <v>2028</v>
      </c>
      <c r="D673" s="2" t="s">
        <v>2029</v>
      </c>
      <c r="E673" s="3">
        <v>45953</v>
      </c>
      <c r="F673" s="3">
        <v>46318</v>
      </c>
      <c r="G673" s="4">
        <v>0</v>
      </c>
      <c r="H673" s="10">
        <v>0.1075</v>
      </c>
      <c r="I673" s="10">
        <v>0.1026</v>
      </c>
      <c r="J673" s="5">
        <v>655200</v>
      </c>
      <c r="K673" s="5">
        <v>628450</v>
      </c>
      <c r="L673" s="5">
        <v>26750</v>
      </c>
      <c r="M673" s="4">
        <v>0.96</v>
      </c>
      <c r="N673" s="2">
        <v>3</v>
      </c>
      <c r="O673" s="5">
        <v>0</v>
      </c>
      <c r="P673" s="5">
        <v>5217</v>
      </c>
      <c r="Q673" s="3">
        <v>46023</v>
      </c>
      <c r="R673" s="6">
        <f t="shared" si="23"/>
        <v>0</v>
      </c>
    </row>
    <row r="674" spans="1:18" x14ac:dyDescent="0.25">
      <c r="A674" s="2" t="s">
        <v>578</v>
      </c>
      <c r="B674" s="2" t="s">
        <v>2030</v>
      </c>
      <c r="C674" s="2" t="s">
        <v>2031</v>
      </c>
      <c r="D674" s="2" t="s">
        <v>2032</v>
      </c>
      <c r="E674" s="3">
        <v>45954</v>
      </c>
      <c r="F674" s="3">
        <v>46319</v>
      </c>
      <c r="G674" s="4">
        <v>0</v>
      </c>
      <c r="H674" s="10">
        <v>0.10249999999999999</v>
      </c>
      <c r="I674" s="10">
        <v>0.1012</v>
      </c>
      <c r="J674" s="5">
        <v>502990</v>
      </c>
      <c r="K674" s="5">
        <v>502990</v>
      </c>
      <c r="L674" s="5">
        <v>0</v>
      </c>
      <c r="M674" s="4">
        <v>1</v>
      </c>
      <c r="N674" s="2">
        <v>3</v>
      </c>
      <c r="O674" s="5">
        <v>0</v>
      </c>
      <c r="P674" s="5">
        <v>4046</v>
      </c>
      <c r="Q674" s="3">
        <v>46023</v>
      </c>
      <c r="R674" s="6">
        <f t="shared" si="23"/>
        <v>0</v>
      </c>
    </row>
    <row r="675" spans="1:18" x14ac:dyDescent="0.25">
      <c r="A675" s="2" t="s">
        <v>578</v>
      </c>
      <c r="B675" s="2" t="s">
        <v>2033</v>
      </c>
      <c r="C675" s="2" t="s">
        <v>2034</v>
      </c>
      <c r="D675" s="2" t="s">
        <v>2035</v>
      </c>
      <c r="E675" s="3">
        <v>45954</v>
      </c>
      <c r="F675" s="3">
        <v>46319</v>
      </c>
      <c r="G675" s="4">
        <v>0</v>
      </c>
      <c r="H675" s="10">
        <v>0.1169</v>
      </c>
      <c r="I675" s="10">
        <v>0.1169</v>
      </c>
      <c r="J675" s="5">
        <v>999274</v>
      </c>
      <c r="K675" s="5">
        <v>313149</v>
      </c>
      <c r="L675" s="5">
        <v>686125</v>
      </c>
      <c r="M675" s="4">
        <v>0.31</v>
      </c>
      <c r="N675" s="2">
        <v>2</v>
      </c>
      <c r="O675" s="5">
        <v>0</v>
      </c>
      <c r="P675" s="5">
        <v>3051</v>
      </c>
      <c r="Q675" s="3">
        <v>46023</v>
      </c>
      <c r="R675" s="6">
        <f t="shared" si="23"/>
        <v>0</v>
      </c>
    </row>
    <row r="676" spans="1:18" x14ac:dyDescent="0.25">
      <c r="A676" s="2" t="s">
        <v>578</v>
      </c>
      <c r="B676" s="2" t="s">
        <v>2036</v>
      </c>
      <c r="C676" s="2" t="s">
        <v>2037</v>
      </c>
      <c r="D676" s="2" t="s">
        <v>2038</v>
      </c>
      <c r="E676" s="3">
        <v>45954</v>
      </c>
      <c r="F676" s="3">
        <v>46319</v>
      </c>
      <c r="G676" s="4">
        <v>0</v>
      </c>
      <c r="H676" s="10">
        <v>9.5000000000000001E-2</v>
      </c>
      <c r="I676" s="10">
        <v>9.4700000000000006E-2</v>
      </c>
      <c r="J676" s="5">
        <v>905750</v>
      </c>
      <c r="K676" s="5">
        <v>505750</v>
      </c>
      <c r="L676" s="5">
        <v>400000</v>
      </c>
      <c r="M676" s="4">
        <v>0.56000000000000005</v>
      </c>
      <c r="N676" s="2">
        <v>1</v>
      </c>
      <c r="O676" s="5">
        <v>0</v>
      </c>
      <c r="P676" s="5">
        <v>4004</v>
      </c>
      <c r="Q676" s="3">
        <v>46023</v>
      </c>
      <c r="R676" s="6">
        <f t="shared" si="23"/>
        <v>0</v>
      </c>
    </row>
    <row r="677" spans="1:18" x14ac:dyDescent="0.25">
      <c r="A677" s="2" t="s">
        <v>578</v>
      </c>
      <c r="B677" s="2" t="s">
        <v>2039</v>
      </c>
      <c r="C677" s="2" t="s">
        <v>2040</v>
      </c>
      <c r="D677" s="2" t="s">
        <v>2041</v>
      </c>
      <c r="E677" s="3">
        <v>45954</v>
      </c>
      <c r="F677" s="3">
        <v>46319</v>
      </c>
      <c r="G677" s="4">
        <v>0</v>
      </c>
      <c r="H677" s="10">
        <v>0.11</v>
      </c>
      <c r="I677" s="10">
        <v>0.1031</v>
      </c>
      <c r="J677" s="5">
        <v>68854</v>
      </c>
      <c r="K677" s="5">
        <v>8750</v>
      </c>
      <c r="L677" s="5">
        <v>60104</v>
      </c>
      <c r="M677" s="4">
        <v>0.13</v>
      </c>
      <c r="N677" s="2">
        <v>1</v>
      </c>
      <c r="O677" s="5">
        <v>0</v>
      </c>
      <c r="P677" s="5">
        <v>631</v>
      </c>
      <c r="Q677" s="3">
        <v>46023</v>
      </c>
      <c r="R677" s="6">
        <f t="shared" si="23"/>
        <v>0</v>
      </c>
    </row>
    <row r="678" spans="1:18" x14ac:dyDescent="0.25">
      <c r="A678" s="2" t="s">
        <v>578</v>
      </c>
      <c r="B678" s="2" t="s">
        <v>2042</v>
      </c>
      <c r="C678" s="2" t="s">
        <v>2043</v>
      </c>
      <c r="D678" s="2" t="s">
        <v>2044</v>
      </c>
      <c r="E678" s="3">
        <v>45957</v>
      </c>
      <c r="F678" s="3">
        <v>46322</v>
      </c>
      <c r="G678" s="4">
        <v>0</v>
      </c>
      <c r="H678" s="10">
        <v>0.105</v>
      </c>
      <c r="I678" s="10">
        <v>0.1021</v>
      </c>
      <c r="J678" s="5">
        <v>406800</v>
      </c>
      <c r="K678" s="5">
        <v>362600</v>
      </c>
      <c r="L678" s="5">
        <v>44200</v>
      </c>
      <c r="M678" s="4">
        <v>0.89</v>
      </c>
      <c r="N678" s="2">
        <v>2</v>
      </c>
      <c r="O678" s="5">
        <v>0</v>
      </c>
      <c r="P678" s="5">
        <v>3163</v>
      </c>
      <c r="Q678" s="3">
        <v>46023</v>
      </c>
      <c r="R678" s="6">
        <f t="shared" si="23"/>
        <v>0</v>
      </c>
    </row>
    <row r="679" spans="1:18" x14ac:dyDescent="0.25">
      <c r="A679" s="2" t="s">
        <v>578</v>
      </c>
      <c r="B679" s="2" t="s">
        <v>2045</v>
      </c>
      <c r="C679" s="2" t="s">
        <v>2046</v>
      </c>
      <c r="D679" s="2" t="s">
        <v>2047</v>
      </c>
      <c r="E679" s="3">
        <v>45957</v>
      </c>
      <c r="F679" s="3">
        <v>46322</v>
      </c>
      <c r="G679" s="4">
        <v>0</v>
      </c>
      <c r="H679" s="10">
        <v>0.11</v>
      </c>
      <c r="I679" s="10">
        <v>0.1031</v>
      </c>
      <c r="J679" s="5">
        <v>440438</v>
      </c>
      <c r="K679" s="5">
        <v>378338</v>
      </c>
      <c r="L679" s="5">
        <v>62100</v>
      </c>
      <c r="M679" s="4">
        <v>0.86</v>
      </c>
      <c r="N679" s="2">
        <v>1</v>
      </c>
      <c r="O679" s="5">
        <v>0</v>
      </c>
      <c r="P679" s="5">
        <v>3468</v>
      </c>
      <c r="Q679" s="3">
        <v>46023</v>
      </c>
      <c r="R679" s="6">
        <f t="shared" si="23"/>
        <v>0</v>
      </c>
    </row>
    <row r="680" spans="1:18" x14ac:dyDescent="0.25">
      <c r="A680" s="2" t="s">
        <v>578</v>
      </c>
      <c r="B680" s="2" t="s">
        <v>2048</v>
      </c>
      <c r="C680" s="2" t="s">
        <v>2049</v>
      </c>
      <c r="D680" s="2" t="s">
        <v>2050</v>
      </c>
      <c r="E680" s="3">
        <v>45957</v>
      </c>
      <c r="F680" s="3">
        <v>46322</v>
      </c>
      <c r="G680" s="4">
        <v>0</v>
      </c>
      <c r="H680" s="10">
        <v>0.11</v>
      </c>
      <c r="I680" s="10">
        <v>0.1031</v>
      </c>
      <c r="J680" s="5">
        <v>525000</v>
      </c>
      <c r="K680" s="5">
        <v>479994</v>
      </c>
      <c r="L680" s="5">
        <v>45006</v>
      </c>
      <c r="M680" s="4">
        <v>0.91</v>
      </c>
      <c r="N680" s="2">
        <v>2</v>
      </c>
      <c r="O680" s="5">
        <v>0</v>
      </c>
      <c r="P680" s="5">
        <v>4094</v>
      </c>
      <c r="Q680" s="3">
        <v>46023</v>
      </c>
      <c r="R680" s="6">
        <f t="shared" si="23"/>
        <v>0</v>
      </c>
    </row>
    <row r="681" spans="1:18" x14ac:dyDescent="0.25">
      <c r="A681" s="2" t="s">
        <v>578</v>
      </c>
      <c r="B681" s="2" t="s">
        <v>2051</v>
      </c>
      <c r="C681" s="2" t="s">
        <v>2052</v>
      </c>
      <c r="D681" s="2" t="s">
        <v>2053</v>
      </c>
      <c r="E681" s="3">
        <v>45957</v>
      </c>
      <c r="F681" s="3">
        <v>46322</v>
      </c>
      <c r="G681" s="4">
        <v>0</v>
      </c>
      <c r="H681" s="10">
        <v>0.1125</v>
      </c>
      <c r="I681" s="10">
        <v>0.1036</v>
      </c>
      <c r="J681" s="5">
        <v>529600</v>
      </c>
      <c r="K681" s="5">
        <v>529600</v>
      </c>
      <c r="L681" s="5">
        <v>0</v>
      </c>
      <c r="M681" s="4">
        <v>1</v>
      </c>
      <c r="N681" s="2">
        <v>3</v>
      </c>
      <c r="O681" s="5">
        <v>0</v>
      </c>
      <c r="P681" s="5">
        <v>4589</v>
      </c>
      <c r="Q681" s="3">
        <v>46023</v>
      </c>
      <c r="R681" s="6">
        <f t="shared" si="23"/>
        <v>0</v>
      </c>
    </row>
    <row r="682" spans="1:18" x14ac:dyDescent="0.25">
      <c r="A682" s="2" t="s">
        <v>578</v>
      </c>
      <c r="B682" s="2" t="s">
        <v>2054</v>
      </c>
      <c r="C682" s="2" t="s">
        <v>2055</v>
      </c>
      <c r="D682" s="2" t="s">
        <v>2056</v>
      </c>
      <c r="E682" s="3">
        <v>45957</v>
      </c>
      <c r="F682" s="3">
        <v>46322</v>
      </c>
      <c r="G682" s="4">
        <v>0</v>
      </c>
      <c r="H682" s="10">
        <v>0.11</v>
      </c>
      <c r="I682" s="10">
        <v>0.1031</v>
      </c>
      <c r="J682" s="5">
        <v>516000</v>
      </c>
      <c r="K682" s="5">
        <v>441000</v>
      </c>
      <c r="L682" s="5">
        <v>75000</v>
      </c>
      <c r="M682" s="4">
        <v>0.85</v>
      </c>
      <c r="N682" s="2">
        <v>1</v>
      </c>
      <c r="O682" s="5">
        <v>0</v>
      </c>
      <c r="P682" s="5">
        <v>4042</v>
      </c>
      <c r="Q682" s="3">
        <v>46023</v>
      </c>
      <c r="R682" s="6">
        <f t="shared" si="23"/>
        <v>0</v>
      </c>
    </row>
    <row r="683" spans="1:18" x14ac:dyDescent="0.25">
      <c r="A683" s="2" t="s">
        <v>578</v>
      </c>
      <c r="B683" s="2" t="s">
        <v>2057</v>
      </c>
      <c r="C683" s="2" t="s">
        <v>2058</v>
      </c>
      <c r="D683" s="2" t="s">
        <v>2059</v>
      </c>
      <c r="E683" s="3">
        <v>45957</v>
      </c>
      <c r="F683" s="3">
        <v>46322</v>
      </c>
      <c r="G683" s="4">
        <v>0</v>
      </c>
      <c r="H683" s="10">
        <v>0.105</v>
      </c>
      <c r="I683" s="10">
        <v>0.1021</v>
      </c>
      <c r="J683" s="5">
        <v>443700</v>
      </c>
      <c r="K683" s="5">
        <v>443700</v>
      </c>
      <c r="L683" s="5">
        <v>0</v>
      </c>
      <c r="M683" s="4">
        <v>1</v>
      </c>
      <c r="N683" s="2">
        <v>1</v>
      </c>
      <c r="O683" s="5">
        <v>0</v>
      </c>
      <c r="P683" s="5">
        <v>3882</v>
      </c>
      <c r="Q683" s="3">
        <v>46082</v>
      </c>
      <c r="R683" s="6">
        <f t="shared" si="23"/>
        <v>0</v>
      </c>
    </row>
    <row r="684" spans="1:18" x14ac:dyDescent="0.25">
      <c r="A684" s="2" t="s">
        <v>578</v>
      </c>
      <c r="B684" s="2" t="s">
        <v>2060</v>
      </c>
      <c r="C684" s="2" t="s">
        <v>2061</v>
      </c>
      <c r="D684" s="2" t="s">
        <v>2062</v>
      </c>
      <c r="E684" s="3">
        <v>45957</v>
      </c>
      <c r="F684" s="3">
        <v>46322</v>
      </c>
      <c r="G684" s="4">
        <v>0</v>
      </c>
      <c r="H684" s="10">
        <v>0.11</v>
      </c>
      <c r="I684" s="10">
        <v>0.1031</v>
      </c>
      <c r="J684" s="5">
        <v>185550</v>
      </c>
      <c r="K684" s="5">
        <v>129150</v>
      </c>
      <c r="L684" s="5">
        <v>56400</v>
      </c>
      <c r="M684" s="4">
        <v>0.7</v>
      </c>
      <c r="N684" s="2">
        <v>2</v>
      </c>
      <c r="O684" s="5">
        <v>0</v>
      </c>
      <c r="P684" s="5">
        <v>1052</v>
      </c>
      <c r="Q684" s="3">
        <v>46023</v>
      </c>
      <c r="R684" s="6">
        <f t="shared" si="23"/>
        <v>0</v>
      </c>
    </row>
    <row r="685" spans="1:18" x14ac:dyDescent="0.25">
      <c r="A685" s="2" t="s">
        <v>578</v>
      </c>
      <c r="B685" s="2" t="s">
        <v>2063</v>
      </c>
      <c r="C685" s="2" t="s">
        <v>2064</v>
      </c>
      <c r="D685" s="2" t="s">
        <v>2065</v>
      </c>
      <c r="E685" s="3">
        <v>45958</v>
      </c>
      <c r="F685" s="3">
        <v>46415</v>
      </c>
      <c r="G685" s="4">
        <v>0</v>
      </c>
      <c r="H685" s="10">
        <v>9.9900000000000003E-2</v>
      </c>
      <c r="I685" s="10">
        <v>9.9199999999999997E-2</v>
      </c>
      <c r="J685" s="5">
        <v>675000</v>
      </c>
      <c r="K685" s="5">
        <v>675000</v>
      </c>
      <c r="L685" s="5">
        <v>0</v>
      </c>
      <c r="M685" s="4">
        <v>1</v>
      </c>
      <c r="N685" s="2">
        <v>1</v>
      </c>
      <c r="O685" s="5">
        <v>0</v>
      </c>
      <c r="P685" s="5">
        <v>5619</v>
      </c>
      <c r="Q685" s="3">
        <v>46023</v>
      </c>
      <c r="R685" s="6">
        <f t="shared" si="23"/>
        <v>0</v>
      </c>
    </row>
    <row r="686" spans="1:18" x14ac:dyDescent="0.25">
      <c r="A686" s="2" t="s">
        <v>578</v>
      </c>
      <c r="B686" s="2" t="s">
        <v>2066</v>
      </c>
      <c r="C686" s="2" t="s">
        <v>2067</v>
      </c>
      <c r="D686" s="2" t="s">
        <v>2068</v>
      </c>
      <c r="E686" s="3">
        <v>45958</v>
      </c>
      <c r="F686" s="3">
        <v>46323</v>
      </c>
      <c r="G686" s="4">
        <v>0</v>
      </c>
      <c r="H686" s="10">
        <v>0.1075</v>
      </c>
      <c r="I686" s="10">
        <v>0.1026</v>
      </c>
      <c r="J686" s="5">
        <v>525600</v>
      </c>
      <c r="K686" s="5">
        <v>459000</v>
      </c>
      <c r="L686" s="5">
        <v>66600</v>
      </c>
      <c r="M686" s="4">
        <v>0.87</v>
      </c>
      <c r="N686" s="2">
        <v>1</v>
      </c>
      <c r="O686" s="5">
        <v>0</v>
      </c>
      <c r="P686" s="5">
        <v>4112</v>
      </c>
      <c r="Q686" s="3">
        <v>46023</v>
      </c>
      <c r="R686" s="6">
        <f t="shared" si="23"/>
        <v>0</v>
      </c>
    </row>
    <row r="687" spans="1:18" x14ac:dyDescent="0.25">
      <c r="A687" s="2" t="s">
        <v>578</v>
      </c>
      <c r="B687" s="2" t="s">
        <v>2069</v>
      </c>
      <c r="C687" s="2" t="s">
        <v>2070</v>
      </c>
      <c r="D687" s="2" t="s">
        <v>2071</v>
      </c>
      <c r="E687" s="3">
        <v>45959</v>
      </c>
      <c r="F687" s="3">
        <v>46506</v>
      </c>
      <c r="G687" s="4">
        <v>0</v>
      </c>
      <c r="H687" s="10">
        <v>9.9900000000000003E-2</v>
      </c>
      <c r="I687" s="10">
        <v>9.9199999999999997E-2</v>
      </c>
      <c r="J687" s="5">
        <v>450900</v>
      </c>
      <c r="K687" s="5">
        <v>450900</v>
      </c>
      <c r="L687" s="5">
        <v>0</v>
      </c>
      <c r="M687" s="4">
        <v>1</v>
      </c>
      <c r="N687" s="2">
        <v>1</v>
      </c>
      <c r="O687" s="5">
        <v>0</v>
      </c>
      <c r="P687" s="5">
        <v>3754</v>
      </c>
      <c r="Q687" s="3">
        <v>46023</v>
      </c>
      <c r="R687" s="6">
        <f t="shared" si="23"/>
        <v>0</v>
      </c>
    </row>
    <row r="688" spans="1:18" x14ac:dyDescent="0.25">
      <c r="A688" s="2" t="s">
        <v>578</v>
      </c>
      <c r="B688" s="2" t="s">
        <v>2072</v>
      </c>
      <c r="C688" s="2" t="s">
        <v>2073</v>
      </c>
      <c r="D688" s="2" t="s">
        <v>2074</v>
      </c>
      <c r="E688" s="3">
        <v>45959</v>
      </c>
      <c r="F688" s="3">
        <v>46324</v>
      </c>
      <c r="G688" s="4">
        <v>0</v>
      </c>
      <c r="H688" s="10">
        <v>0.1099</v>
      </c>
      <c r="I688" s="10">
        <v>0.1031</v>
      </c>
      <c r="J688" s="5">
        <v>114855</v>
      </c>
      <c r="K688" s="5">
        <v>60000</v>
      </c>
      <c r="L688" s="5">
        <v>54855</v>
      </c>
      <c r="M688" s="4">
        <v>0.52</v>
      </c>
      <c r="N688" s="2">
        <v>1</v>
      </c>
      <c r="O688" s="5">
        <v>0</v>
      </c>
      <c r="P688" s="5">
        <v>550</v>
      </c>
      <c r="Q688" s="3">
        <v>46023</v>
      </c>
      <c r="R688" s="6">
        <f t="shared" si="23"/>
        <v>0</v>
      </c>
    </row>
    <row r="689" spans="1:18" x14ac:dyDescent="0.25">
      <c r="A689" s="2" t="s">
        <v>578</v>
      </c>
      <c r="B689" s="2" t="s">
        <v>2075</v>
      </c>
      <c r="C689" s="2" t="s">
        <v>2076</v>
      </c>
      <c r="D689" s="2" t="s">
        <v>2077</v>
      </c>
      <c r="E689" s="3">
        <v>45959</v>
      </c>
      <c r="F689" s="3">
        <v>46324</v>
      </c>
      <c r="G689" s="4">
        <v>0</v>
      </c>
      <c r="H689" s="10">
        <v>9.9900000000000003E-2</v>
      </c>
      <c r="I689" s="10">
        <v>9.9199999999999997E-2</v>
      </c>
      <c r="J689" s="5">
        <v>787500</v>
      </c>
      <c r="K689" s="5">
        <v>787500</v>
      </c>
      <c r="L689" s="5">
        <v>0</v>
      </c>
      <c r="M689" s="4">
        <v>1</v>
      </c>
      <c r="N689" s="2">
        <v>1</v>
      </c>
      <c r="O689" s="5">
        <v>0</v>
      </c>
      <c r="P689" s="5">
        <v>6556</v>
      </c>
      <c r="Q689" s="3">
        <v>46023</v>
      </c>
      <c r="R689" s="6">
        <f t="shared" si="23"/>
        <v>0</v>
      </c>
    </row>
    <row r="690" spans="1:18" x14ac:dyDescent="0.25">
      <c r="A690" s="2" t="s">
        <v>578</v>
      </c>
      <c r="B690" s="2" t="s">
        <v>2078</v>
      </c>
      <c r="C690" s="2" t="s">
        <v>2079</v>
      </c>
      <c r="D690" s="2" t="s">
        <v>2080</v>
      </c>
      <c r="E690" s="3">
        <v>45959</v>
      </c>
      <c r="F690" s="3">
        <v>46324</v>
      </c>
      <c r="G690" s="4">
        <v>0</v>
      </c>
      <c r="H690" s="10">
        <v>0.11</v>
      </c>
      <c r="I690" s="10">
        <v>0.1031</v>
      </c>
      <c r="J690" s="5">
        <v>579250</v>
      </c>
      <c r="K690" s="5">
        <v>425250</v>
      </c>
      <c r="L690" s="5">
        <v>154000</v>
      </c>
      <c r="M690" s="4">
        <v>0.73</v>
      </c>
      <c r="N690" s="2">
        <v>1</v>
      </c>
      <c r="O690" s="5">
        <v>0</v>
      </c>
      <c r="P690" s="5">
        <v>3898</v>
      </c>
      <c r="Q690" s="3">
        <v>46023</v>
      </c>
      <c r="R690" s="6">
        <f t="shared" si="23"/>
        <v>0</v>
      </c>
    </row>
    <row r="691" spans="1:18" x14ac:dyDescent="0.25">
      <c r="A691" s="2" t="s">
        <v>578</v>
      </c>
      <c r="B691" s="2" t="s">
        <v>2081</v>
      </c>
      <c r="C691" s="2" t="s">
        <v>2082</v>
      </c>
      <c r="D691" s="2" t="s">
        <v>2083</v>
      </c>
      <c r="E691" s="3">
        <v>45960</v>
      </c>
      <c r="F691" s="3">
        <v>46325</v>
      </c>
      <c r="G691" s="4">
        <v>0</v>
      </c>
      <c r="H691" s="10">
        <v>0.11</v>
      </c>
      <c r="I691" s="10">
        <v>0.1031</v>
      </c>
      <c r="J691" s="5">
        <v>467775</v>
      </c>
      <c r="K691" s="5">
        <v>467775</v>
      </c>
      <c r="L691" s="5">
        <v>0</v>
      </c>
      <c r="M691" s="4">
        <v>1</v>
      </c>
      <c r="N691" s="2">
        <v>1</v>
      </c>
      <c r="O691" s="5">
        <v>0</v>
      </c>
      <c r="P691" s="5">
        <v>4288</v>
      </c>
      <c r="Q691" s="3">
        <v>46023</v>
      </c>
      <c r="R691" s="6">
        <f t="shared" si="23"/>
        <v>0</v>
      </c>
    </row>
    <row r="692" spans="1:18" x14ac:dyDescent="0.25">
      <c r="A692" s="2" t="s">
        <v>578</v>
      </c>
      <c r="B692" s="2" t="s">
        <v>2084</v>
      </c>
      <c r="C692" s="2" t="s">
        <v>2085</v>
      </c>
      <c r="D692" s="2" t="s">
        <v>2086</v>
      </c>
      <c r="E692" s="3">
        <v>45960</v>
      </c>
      <c r="F692" s="3">
        <v>46325</v>
      </c>
      <c r="G692" s="4">
        <v>0</v>
      </c>
      <c r="H692" s="10">
        <v>0.1075</v>
      </c>
      <c r="I692" s="10">
        <v>0.1026</v>
      </c>
      <c r="J692" s="5">
        <v>148500</v>
      </c>
      <c r="K692" s="5">
        <v>121500</v>
      </c>
      <c r="L692" s="5">
        <v>27000</v>
      </c>
      <c r="M692" s="4">
        <v>0.82</v>
      </c>
      <c r="N692" s="2">
        <v>3</v>
      </c>
      <c r="O692" s="5">
        <v>0</v>
      </c>
      <c r="P692" s="5">
        <v>1330</v>
      </c>
      <c r="Q692" s="3">
        <v>46023</v>
      </c>
      <c r="R692" s="6">
        <f t="shared" si="23"/>
        <v>0</v>
      </c>
    </row>
    <row r="693" spans="1:18" x14ac:dyDescent="0.25">
      <c r="A693" s="2" t="s">
        <v>578</v>
      </c>
      <c r="B693" s="2" t="s">
        <v>2087</v>
      </c>
      <c r="C693" s="2" t="s">
        <v>2088</v>
      </c>
      <c r="D693" s="2" t="s">
        <v>2089</v>
      </c>
      <c r="E693" s="3">
        <v>45961</v>
      </c>
      <c r="F693" s="3">
        <v>46326</v>
      </c>
      <c r="G693" s="4">
        <v>0</v>
      </c>
      <c r="H693" s="10">
        <v>0.10249999999999999</v>
      </c>
      <c r="I693" s="10">
        <v>0.10050000000000001</v>
      </c>
      <c r="J693" s="5">
        <v>382500</v>
      </c>
      <c r="K693" s="5">
        <v>382500</v>
      </c>
      <c r="L693" s="5">
        <v>0</v>
      </c>
      <c r="M693" s="4">
        <v>1</v>
      </c>
      <c r="N693" s="2">
        <v>1</v>
      </c>
      <c r="O693" s="5">
        <v>0</v>
      </c>
      <c r="P693" s="5">
        <v>3267</v>
      </c>
      <c r="Q693" s="3">
        <v>46023</v>
      </c>
      <c r="R693" s="6">
        <f t="shared" si="23"/>
        <v>0</v>
      </c>
    </row>
    <row r="694" spans="1:18" x14ac:dyDescent="0.25">
      <c r="A694" s="2" t="s">
        <v>578</v>
      </c>
      <c r="B694" s="2" t="s">
        <v>2090</v>
      </c>
      <c r="C694" s="2" t="s">
        <v>2091</v>
      </c>
      <c r="D694" s="2" t="s">
        <v>2092</v>
      </c>
      <c r="E694" s="3">
        <v>45961</v>
      </c>
      <c r="F694" s="3">
        <v>46326</v>
      </c>
      <c r="G694" s="4">
        <v>0</v>
      </c>
      <c r="H694" s="10">
        <v>0.1075</v>
      </c>
      <c r="I694" s="10">
        <v>0.1026</v>
      </c>
      <c r="J694" s="5">
        <v>118500</v>
      </c>
      <c r="K694" s="5">
        <v>89250</v>
      </c>
      <c r="L694" s="5">
        <v>29250</v>
      </c>
      <c r="M694" s="4">
        <v>0.75</v>
      </c>
      <c r="N694" s="2">
        <v>1</v>
      </c>
      <c r="O694" s="5">
        <v>0</v>
      </c>
      <c r="P694" s="5">
        <v>800</v>
      </c>
      <c r="Q694" s="3">
        <v>46023</v>
      </c>
      <c r="R694" s="6">
        <f t="shared" ref="R694:R747" si="24">G694*K694</f>
        <v>0</v>
      </c>
    </row>
    <row r="695" spans="1:18" x14ac:dyDescent="0.25">
      <c r="A695" s="2" t="s">
        <v>578</v>
      </c>
      <c r="B695" s="2" t="s">
        <v>2093</v>
      </c>
      <c r="C695" s="2" t="s">
        <v>2094</v>
      </c>
      <c r="D695" s="2" t="s">
        <v>2095</v>
      </c>
      <c r="E695" s="3">
        <v>45964</v>
      </c>
      <c r="F695" s="3">
        <v>46329</v>
      </c>
      <c r="G695" s="4">
        <v>0</v>
      </c>
      <c r="H695" s="10">
        <v>0.105</v>
      </c>
      <c r="I695" s="10">
        <v>0.1021</v>
      </c>
      <c r="J695" s="5">
        <v>608506</v>
      </c>
      <c r="K695" s="5">
        <v>396769</v>
      </c>
      <c r="L695" s="5">
        <v>211737</v>
      </c>
      <c r="M695" s="4">
        <v>0.65</v>
      </c>
      <c r="N695" s="2">
        <v>2</v>
      </c>
      <c r="O695" s="5">
        <v>0</v>
      </c>
      <c r="P695" s="5">
        <v>2678</v>
      </c>
      <c r="Q695" s="3">
        <v>46054</v>
      </c>
      <c r="R695" s="6">
        <f t="shared" si="24"/>
        <v>0</v>
      </c>
    </row>
    <row r="696" spans="1:18" x14ac:dyDescent="0.25">
      <c r="A696" s="2" t="s">
        <v>578</v>
      </c>
      <c r="B696" s="2" t="s">
        <v>2096</v>
      </c>
      <c r="C696" s="2" t="s">
        <v>2097</v>
      </c>
      <c r="D696" s="2" t="s">
        <v>2098</v>
      </c>
      <c r="E696" s="3">
        <v>45964</v>
      </c>
      <c r="F696" s="3">
        <v>46329</v>
      </c>
      <c r="G696" s="4">
        <v>0</v>
      </c>
      <c r="H696" s="10">
        <v>0.105</v>
      </c>
      <c r="I696" s="10">
        <v>0.1021</v>
      </c>
      <c r="J696" s="5">
        <v>624652</v>
      </c>
      <c r="K696" s="5">
        <v>545922</v>
      </c>
      <c r="L696" s="5">
        <v>78730</v>
      </c>
      <c r="M696" s="4">
        <v>0.87</v>
      </c>
      <c r="N696" s="2">
        <v>3</v>
      </c>
      <c r="O696" s="5">
        <v>0</v>
      </c>
      <c r="P696" s="5">
        <v>3209</v>
      </c>
      <c r="Q696" s="3">
        <v>46054</v>
      </c>
      <c r="R696" s="6">
        <f t="shared" si="24"/>
        <v>0</v>
      </c>
    </row>
    <row r="697" spans="1:18" x14ac:dyDescent="0.25">
      <c r="A697" s="2" t="s">
        <v>578</v>
      </c>
      <c r="B697" s="2" t="s">
        <v>2099</v>
      </c>
      <c r="C697" s="2" t="s">
        <v>2100</v>
      </c>
      <c r="D697" s="2" t="s">
        <v>2101</v>
      </c>
      <c r="E697" s="3">
        <v>45968</v>
      </c>
      <c r="F697" s="3">
        <v>46333</v>
      </c>
      <c r="G697" s="4">
        <v>0</v>
      </c>
      <c r="H697" s="10">
        <v>0.1075</v>
      </c>
      <c r="I697" s="10">
        <v>0.1026</v>
      </c>
      <c r="J697" s="5">
        <v>516075</v>
      </c>
      <c r="K697" s="5">
        <v>450900</v>
      </c>
      <c r="L697" s="5">
        <v>65175</v>
      </c>
      <c r="M697" s="4">
        <v>0.87</v>
      </c>
      <c r="N697" s="2">
        <v>1</v>
      </c>
      <c r="O697" s="5">
        <v>0</v>
      </c>
      <c r="P697" s="5">
        <v>3231</v>
      </c>
      <c r="Q697" s="3">
        <v>46054</v>
      </c>
      <c r="R697" s="6">
        <f t="shared" si="24"/>
        <v>0</v>
      </c>
    </row>
    <row r="698" spans="1:18" x14ac:dyDescent="0.25">
      <c r="A698" s="2" t="s">
        <v>578</v>
      </c>
      <c r="B698" s="2" t="s">
        <v>2102</v>
      </c>
      <c r="C698" s="2" t="s">
        <v>2103</v>
      </c>
      <c r="D698" s="2" t="s">
        <v>2104</v>
      </c>
      <c r="E698" s="3">
        <v>45968</v>
      </c>
      <c r="F698" s="3">
        <v>46333</v>
      </c>
      <c r="G698" s="4">
        <v>0</v>
      </c>
      <c r="H698" s="10">
        <v>0.11749999999999999</v>
      </c>
      <c r="I698" s="10">
        <v>0.1052</v>
      </c>
      <c r="J698" s="5">
        <v>535501</v>
      </c>
      <c r="K698" s="5">
        <v>535501</v>
      </c>
      <c r="L698" s="5">
        <v>0</v>
      </c>
      <c r="M698" s="4">
        <v>1</v>
      </c>
      <c r="N698" s="2">
        <v>1</v>
      </c>
      <c r="O698" s="5">
        <v>0</v>
      </c>
      <c r="P698" s="5">
        <v>4195</v>
      </c>
      <c r="Q698" s="3">
        <v>46054</v>
      </c>
      <c r="R698" s="6">
        <f t="shared" si="24"/>
        <v>0</v>
      </c>
    </row>
    <row r="699" spans="1:18" x14ac:dyDescent="0.25">
      <c r="A699" s="2" t="s">
        <v>578</v>
      </c>
      <c r="B699" s="2" t="s">
        <v>2105</v>
      </c>
      <c r="C699" s="2" t="s">
        <v>2106</v>
      </c>
      <c r="D699" s="2" t="s">
        <v>2107</v>
      </c>
      <c r="E699" s="3">
        <v>45971</v>
      </c>
      <c r="F699" s="3">
        <v>46336</v>
      </c>
      <c r="G699" s="4">
        <v>0</v>
      </c>
      <c r="H699" s="10">
        <v>0.10249999999999999</v>
      </c>
      <c r="I699" s="10">
        <v>0.10050000000000001</v>
      </c>
      <c r="J699" s="5">
        <v>641250</v>
      </c>
      <c r="K699" s="5">
        <v>528250</v>
      </c>
      <c r="L699" s="5">
        <v>113000</v>
      </c>
      <c r="M699" s="4">
        <v>0.82</v>
      </c>
      <c r="N699" s="2">
        <v>1</v>
      </c>
      <c r="O699" s="5">
        <v>0</v>
      </c>
      <c r="P699" s="5">
        <v>3158</v>
      </c>
      <c r="Q699" s="3">
        <v>46054</v>
      </c>
      <c r="R699" s="6">
        <f t="shared" si="24"/>
        <v>0</v>
      </c>
    </row>
    <row r="700" spans="1:18" x14ac:dyDescent="0.25">
      <c r="A700" s="2" t="s">
        <v>578</v>
      </c>
      <c r="B700" s="2" t="s">
        <v>2108</v>
      </c>
      <c r="C700" s="2" t="s">
        <v>2109</v>
      </c>
      <c r="D700" s="2" t="s">
        <v>2110</v>
      </c>
      <c r="E700" s="3">
        <v>45973</v>
      </c>
      <c r="F700" s="3">
        <v>46338</v>
      </c>
      <c r="G700" s="4">
        <v>0</v>
      </c>
      <c r="H700" s="10">
        <v>0.11</v>
      </c>
      <c r="I700" s="10">
        <v>0.1031</v>
      </c>
      <c r="J700" s="5">
        <v>221500</v>
      </c>
      <c r="K700" s="5">
        <v>157500</v>
      </c>
      <c r="L700" s="5">
        <v>64000</v>
      </c>
      <c r="M700" s="4">
        <v>0.71</v>
      </c>
      <c r="N700" s="2">
        <v>1</v>
      </c>
      <c r="O700" s="5">
        <v>0</v>
      </c>
      <c r="P700" s="5">
        <v>914</v>
      </c>
      <c r="Q700" s="3">
        <v>46054</v>
      </c>
      <c r="R700" s="6">
        <f t="shared" si="24"/>
        <v>0</v>
      </c>
    </row>
    <row r="701" spans="1:18" x14ac:dyDescent="0.25">
      <c r="A701" s="2" t="s">
        <v>578</v>
      </c>
      <c r="B701" s="2" t="s">
        <v>2111</v>
      </c>
      <c r="C701" s="2" t="s">
        <v>2112</v>
      </c>
      <c r="D701" s="2" t="s">
        <v>2113</v>
      </c>
      <c r="E701" s="3">
        <v>45973</v>
      </c>
      <c r="F701" s="3">
        <v>46338</v>
      </c>
      <c r="G701" s="4">
        <v>0</v>
      </c>
      <c r="H701" s="10">
        <v>0.10249999999999999</v>
      </c>
      <c r="I701" s="10">
        <v>0.10050000000000001</v>
      </c>
      <c r="J701" s="5">
        <v>799200</v>
      </c>
      <c r="K701" s="5">
        <v>484500</v>
      </c>
      <c r="L701" s="5">
        <v>314700</v>
      </c>
      <c r="M701" s="4">
        <v>0.61</v>
      </c>
      <c r="N701" s="2">
        <v>1</v>
      </c>
      <c r="O701" s="5">
        <v>0</v>
      </c>
      <c r="P701" s="5">
        <v>2621</v>
      </c>
      <c r="Q701" s="3">
        <v>46054</v>
      </c>
      <c r="R701" s="6">
        <f t="shared" si="24"/>
        <v>0</v>
      </c>
    </row>
    <row r="702" spans="1:18" x14ac:dyDescent="0.25">
      <c r="A702" s="2" t="s">
        <v>578</v>
      </c>
      <c r="B702" s="2" t="s">
        <v>2114</v>
      </c>
      <c r="C702" s="2" t="s">
        <v>2115</v>
      </c>
      <c r="D702" s="2" t="s">
        <v>2116</v>
      </c>
      <c r="E702" s="3">
        <v>45973</v>
      </c>
      <c r="F702" s="3">
        <v>46338</v>
      </c>
      <c r="G702" s="4">
        <v>0</v>
      </c>
      <c r="H702" s="10">
        <v>0.11</v>
      </c>
      <c r="I702" s="10">
        <v>0.1031</v>
      </c>
      <c r="J702" s="5">
        <v>557550</v>
      </c>
      <c r="K702" s="5">
        <v>557550</v>
      </c>
      <c r="L702" s="5">
        <v>0</v>
      </c>
      <c r="M702" s="4">
        <v>1</v>
      </c>
      <c r="N702" s="2">
        <v>1</v>
      </c>
      <c r="O702" s="5">
        <v>0</v>
      </c>
      <c r="P702" s="5">
        <v>3237</v>
      </c>
      <c r="Q702" s="3">
        <v>46054</v>
      </c>
      <c r="R702" s="6">
        <f t="shared" si="24"/>
        <v>0</v>
      </c>
    </row>
    <row r="703" spans="1:18" x14ac:dyDescent="0.25">
      <c r="A703" s="2" t="s">
        <v>578</v>
      </c>
      <c r="B703" s="2" t="s">
        <v>2117</v>
      </c>
      <c r="C703" s="2" t="s">
        <v>2118</v>
      </c>
      <c r="D703" s="2" t="s">
        <v>2119</v>
      </c>
      <c r="E703" s="3">
        <v>45974</v>
      </c>
      <c r="F703" s="3">
        <v>46339</v>
      </c>
      <c r="G703" s="4">
        <v>0</v>
      </c>
      <c r="H703" s="10">
        <v>9.9900000000000003E-2</v>
      </c>
      <c r="I703" s="10">
        <v>9.9199999999999997E-2</v>
      </c>
      <c r="J703" s="5">
        <v>983000</v>
      </c>
      <c r="K703" s="5">
        <v>783000</v>
      </c>
      <c r="L703" s="5">
        <v>200000</v>
      </c>
      <c r="M703" s="4">
        <v>0.8</v>
      </c>
      <c r="N703" s="2">
        <v>1</v>
      </c>
      <c r="O703" s="5">
        <v>0</v>
      </c>
      <c r="P703" s="5">
        <v>3911</v>
      </c>
      <c r="Q703" s="3">
        <v>46054</v>
      </c>
      <c r="R703" s="6">
        <f t="shared" si="24"/>
        <v>0</v>
      </c>
    </row>
    <row r="704" spans="1:18" x14ac:dyDescent="0.25">
      <c r="A704" s="2" t="s">
        <v>578</v>
      </c>
      <c r="B704" s="2" t="s">
        <v>2120</v>
      </c>
      <c r="C704" s="2" t="s">
        <v>2121</v>
      </c>
      <c r="D704" s="2" t="s">
        <v>2122</v>
      </c>
      <c r="E704" s="3">
        <v>45974</v>
      </c>
      <c r="F704" s="3">
        <v>46339</v>
      </c>
      <c r="G704" s="4">
        <v>0</v>
      </c>
      <c r="H704" s="10">
        <v>0.1075</v>
      </c>
      <c r="I704" s="10">
        <v>0.1062</v>
      </c>
      <c r="J704" s="5">
        <v>181800</v>
      </c>
      <c r="K704" s="5">
        <v>127800</v>
      </c>
      <c r="L704" s="5">
        <v>54000</v>
      </c>
      <c r="M704" s="4">
        <v>0.7</v>
      </c>
      <c r="N704" s="2">
        <v>1</v>
      </c>
      <c r="O704" s="5">
        <v>0</v>
      </c>
      <c r="P704" s="5">
        <v>687</v>
      </c>
      <c r="Q704" s="3">
        <v>46054</v>
      </c>
      <c r="R704" s="6">
        <f t="shared" si="24"/>
        <v>0</v>
      </c>
    </row>
    <row r="705" spans="1:18" x14ac:dyDescent="0.25">
      <c r="A705" s="2" t="s">
        <v>578</v>
      </c>
      <c r="B705" s="2" t="s">
        <v>2123</v>
      </c>
      <c r="C705" s="2" t="s">
        <v>2124</v>
      </c>
      <c r="D705" s="2" t="s">
        <v>2125</v>
      </c>
      <c r="E705" s="3">
        <v>45974</v>
      </c>
      <c r="F705" s="3">
        <v>46339</v>
      </c>
      <c r="G705" s="4">
        <v>0</v>
      </c>
      <c r="H705" s="10">
        <v>0.11</v>
      </c>
      <c r="I705" s="10">
        <v>0.1031</v>
      </c>
      <c r="J705" s="5">
        <v>512425</v>
      </c>
      <c r="K705" s="5">
        <v>457425</v>
      </c>
      <c r="L705" s="5">
        <v>55000</v>
      </c>
      <c r="M705" s="4">
        <v>0.89</v>
      </c>
      <c r="N705" s="2">
        <v>1</v>
      </c>
      <c r="O705" s="5">
        <v>0</v>
      </c>
      <c r="P705" s="5">
        <v>2516</v>
      </c>
      <c r="Q705" s="3">
        <v>46054</v>
      </c>
      <c r="R705" s="6">
        <f t="shared" si="24"/>
        <v>0</v>
      </c>
    </row>
    <row r="706" spans="1:18" x14ac:dyDescent="0.25">
      <c r="A706" s="2" t="s">
        <v>578</v>
      </c>
      <c r="B706" s="2" t="s">
        <v>2126</v>
      </c>
      <c r="C706" s="2" t="s">
        <v>2127</v>
      </c>
      <c r="D706" s="2" t="s">
        <v>2128</v>
      </c>
      <c r="E706" s="3">
        <v>45975</v>
      </c>
      <c r="F706" s="3">
        <v>46340</v>
      </c>
      <c r="G706" s="4">
        <v>0</v>
      </c>
      <c r="H706" s="10">
        <v>0.1125</v>
      </c>
      <c r="I706" s="10">
        <v>0.1036</v>
      </c>
      <c r="J706" s="5">
        <v>126400</v>
      </c>
      <c r="K706" s="5">
        <v>126400</v>
      </c>
      <c r="L706" s="5">
        <v>0</v>
      </c>
      <c r="M706" s="4">
        <v>1</v>
      </c>
      <c r="N706" s="2">
        <v>2</v>
      </c>
      <c r="O706" s="5">
        <v>0</v>
      </c>
      <c r="P706" s="5">
        <v>459</v>
      </c>
      <c r="Q706" s="3">
        <v>46054</v>
      </c>
      <c r="R706" s="6">
        <f t="shared" si="24"/>
        <v>0</v>
      </c>
    </row>
    <row r="707" spans="1:18" x14ac:dyDescent="0.25">
      <c r="A707" s="2" t="s">
        <v>578</v>
      </c>
      <c r="B707" s="2" t="s">
        <v>2129</v>
      </c>
      <c r="C707" s="2" t="s">
        <v>2130</v>
      </c>
      <c r="D707" s="2" t="s">
        <v>2131</v>
      </c>
      <c r="E707" s="3">
        <v>45975</v>
      </c>
      <c r="F707" s="3">
        <v>46340</v>
      </c>
      <c r="G707" s="4">
        <v>0</v>
      </c>
      <c r="H707" s="10">
        <v>9.5000000000000001E-2</v>
      </c>
      <c r="I707" s="10">
        <v>9.5000000000000001E-2</v>
      </c>
      <c r="J707" s="5">
        <v>655000</v>
      </c>
      <c r="K707" s="5">
        <v>572850</v>
      </c>
      <c r="L707" s="5">
        <v>82150</v>
      </c>
      <c r="M707" s="4">
        <v>0.87</v>
      </c>
      <c r="N707" s="2">
        <v>5</v>
      </c>
      <c r="O707" s="5">
        <v>0</v>
      </c>
      <c r="P707" s="5">
        <v>2395</v>
      </c>
      <c r="Q707" s="3">
        <v>46054</v>
      </c>
      <c r="R707" s="6">
        <f t="shared" si="24"/>
        <v>0</v>
      </c>
    </row>
    <row r="708" spans="1:18" x14ac:dyDescent="0.25">
      <c r="A708" s="2" t="s">
        <v>578</v>
      </c>
      <c r="B708" s="2" t="s">
        <v>2132</v>
      </c>
      <c r="C708" s="2" t="s">
        <v>2133</v>
      </c>
      <c r="D708" s="2" t="s">
        <v>2134</v>
      </c>
      <c r="E708" s="3">
        <v>45975</v>
      </c>
      <c r="F708" s="3">
        <v>46340</v>
      </c>
      <c r="G708" s="4">
        <v>0</v>
      </c>
      <c r="H708" s="10">
        <v>9.9900000000000003E-2</v>
      </c>
      <c r="I708" s="10">
        <v>9.9199999999999997E-2</v>
      </c>
      <c r="J708" s="5">
        <v>616500</v>
      </c>
      <c r="K708" s="5">
        <v>616500</v>
      </c>
      <c r="L708" s="5">
        <v>0</v>
      </c>
      <c r="M708" s="4">
        <v>1</v>
      </c>
      <c r="N708" s="2">
        <v>1</v>
      </c>
      <c r="O708" s="5">
        <v>0</v>
      </c>
      <c r="P708" s="5">
        <v>2908</v>
      </c>
      <c r="Q708" s="3">
        <v>46054</v>
      </c>
      <c r="R708" s="6">
        <f t="shared" si="24"/>
        <v>0</v>
      </c>
    </row>
    <row r="709" spans="1:18" x14ac:dyDescent="0.25">
      <c r="A709" s="2" t="s">
        <v>578</v>
      </c>
      <c r="B709" s="2" t="s">
        <v>2135</v>
      </c>
      <c r="C709" s="2" t="s">
        <v>2136</v>
      </c>
      <c r="D709" s="2" t="s">
        <v>2137</v>
      </c>
      <c r="E709" s="3">
        <v>45978</v>
      </c>
      <c r="F709" s="3">
        <v>46524</v>
      </c>
      <c r="G709" s="4">
        <v>0</v>
      </c>
      <c r="H709" s="10">
        <v>9.9900000000000003E-2</v>
      </c>
      <c r="I709" s="10">
        <v>9.8199999999999996E-2</v>
      </c>
      <c r="J709" s="5">
        <v>441000</v>
      </c>
      <c r="K709" s="5">
        <v>441000</v>
      </c>
      <c r="L709" s="5">
        <v>0</v>
      </c>
      <c r="M709" s="4">
        <v>1</v>
      </c>
      <c r="N709" s="2">
        <v>1</v>
      </c>
      <c r="O709" s="5">
        <v>0</v>
      </c>
      <c r="P709" s="5">
        <v>1713</v>
      </c>
      <c r="Q709" s="3">
        <v>46054</v>
      </c>
      <c r="R709" s="6">
        <f t="shared" si="24"/>
        <v>0</v>
      </c>
    </row>
    <row r="710" spans="1:18" x14ac:dyDescent="0.25">
      <c r="A710" s="2" t="s">
        <v>578</v>
      </c>
      <c r="B710" s="2" t="s">
        <v>2138</v>
      </c>
      <c r="C710" s="2" t="s">
        <v>2139</v>
      </c>
      <c r="D710" s="2" t="s">
        <v>2140</v>
      </c>
      <c r="E710" s="3">
        <v>45979</v>
      </c>
      <c r="F710" s="3">
        <v>46344</v>
      </c>
      <c r="G710" s="4">
        <v>0</v>
      </c>
      <c r="H710" s="10">
        <v>0.1075</v>
      </c>
      <c r="I710" s="10">
        <v>0.1026</v>
      </c>
      <c r="J710" s="5">
        <v>567150</v>
      </c>
      <c r="K710" s="5">
        <v>486000</v>
      </c>
      <c r="L710" s="5">
        <v>81150</v>
      </c>
      <c r="M710" s="4">
        <v>0.86</v>
      </c>
      <c r="N710" s="2">
        <v>1</v>
      </c>
      <c r="O710" s="5">
        <v>0</v>
      </c>
      <c r="P710" s="5">
        <v>1887</v>
      </c>
      <c r="Q710" s="3">
        <v>46054</v>
      </c>
      <c r="R710" s="6">
        <f t="shared" si="24"/>
        <v>0</v>
      </c>
    </row>
    <row r="711" spans="1:18" x14ac:dyDescent="0.25">
      <c r="A711" s="2" t="s">
        <v>578</v>
      </c>
      <c r="B711" s="2" t="s">
        <v>2141</v>
      </c>
      <c r="C711" s="2" t="s">
        <v>2142</v>
      </c>
      <c r="D711" s="2" t="s">
        <v>2143</v>
      </c>
      <c r="E711" s="3">
        <v>45979</v>
      </c>
      <c r="F711" s="3">
        <v>46344</v>
      </c>
      <c r="G711" s="4">
        <v>0</v>
      </c>
      <c r="H711" s="10">
        <v>0.1075</v>
      </c>
      <c r="I711" s="10">
        <v>0.1026</v>
      </c>
      <c r="J711" s="5">
        <v>82278</v>
      </c>
      <c r="K711" s="5">
        <v>57000</v>
      </c>
      <c r="L711" s="5">
        <v>25278</v>
      </c>
      <c r="M711" s="4">
        <v>0.69</v>
      </c>
      <c r="N711" s="2">
        <v>1</v>
      </c>
      <c r="O711" s="5">
        <v>0</v>
      </c>
      <c r="P711" s="5">
        <v>319</v>
      </c>
      <c r="Q711" s="3">
        <v>46054</v>
      </c>
      <c r="R711" s="6">
        <f t="shared" si="24"/>
        <v>0</v>
      </c>
    </row>
    <row r="712" spans="1:18" x14ac:dyDescent="0.25">
      <c r="A712" s="2" t="s">
        <v>578</v>
      </c>
      <c r="B712" s="2" t="s">
        <v>2144</v>
      </c>
      <c r="C712" s="2" t="s">
        <v>2145</v>
      </c>
      <c r="D712" s="2" t="s">
        <v>2146</v>
      </c>
      <c r="E712" s="3">
        <v>45979</v>
      </c>
      <c r="F712" s="3">
        <v>46344</v>
      </c>
      <c r="G712" s="4">
        <v>0</v>
      </c>
      <c r="H712" s="10">
        <v>0.1075</v>
      </c>
      <c r="I712" s="10">
        <v>0.1026</v>
      </c>
      <c r="J712" s="5">
        <v>536675</v>
      </c>
      <c r="K712" s="5">
        <v>439425</v>
      </c>
      <c r="L712" s="5">
        <v>97250</v>
      </c>
      <c r="M712" s="4">
        <v>0.82</v>
      </c>
      <c r="N712" s="2">
        <v>1</v>
      </c>
      <c r="O712" s="5">
        <v>0</v>
      </c>
      <c r="P712" s="5">
        <v>1706</v>
      </c>
      <c r="Q712" s="3">
        <v>46054</v>
      </c>
      <c r="R712" s="6">
        <f t="shared" si="24"/>
        <v>0</v>
      </c>
    </row>
    <row r="713" spans="1:18" x14ac:dyDescent="0.25">
      <c r="A713" s="2" t="s">
        <v>578</v>
      </c>
      <c r="B713" s="2" t="s">
        <v>2147</v>
      </c>
      <c r="C713" s="2" t="s">
        <v>2148</v>
      </c>
      <c r="D713" s="2" t="s">
        <v>2149</v>
      </c>
      <c r="E713" s="3">
        <v>45979</v>
      </c>
      <c r="F713" s="3">
        <v>46344</v>
      </c>
      <c r="G713" s="4">
        <v>0</v>
      </c>
      <c r="H713" s="10">
        <v>0.1075</v>
      </c>
      <c r="I713" s="10">
        <v>0.1026</v>
      </c>
      <c r="J713" s="5">
        <v>228250</v>
      </c>
      <c r="K713" s="5">
        <v>174250</v>
      </c>
      <c r="L713" s="5">
        <v>54000</v>
      </c>
      <c r="M713" s="4">
        <v>0.76</v>
      </c>
      <c r="N713" s="2">
        <v>1</v>
      </c>
      <c r="O713" s="5">
        <v>0</v>
      </c>
      <c r="P713" s="5">
        <v>676</v>
      </c>
      <c r="Q713" s="3">
        <v>46054</v>
      </c>
      <c r="R713" s="6">
        <f t="shared" si="24"/>
        <v>0</v>
      </c>
    </row>
    <row r="714" spans="1:18" x14ac:dyDescent="0.25">
      <c r="A714" s="2" t="s">
        <v>578</v>
      </c>
      <c r="B714" s="2" t="s">
        <v>2150</v>
      </c>
      <c r="C714" s="2" t="s">
        <v>2151</v>
      </c>
      <c r="D714" s="2" t="s">
        <v>2152</v>
      </c>
      <c r="E714" s="3">
        <v>45979</v>
      </c>
      <c r="F714" s="3">
        <v>46344</v>
      </c>
      <c r="G714" s="4">
        <v>0</v>
      </c>
      <c r="H714" s="10">
        <v>0.1075</v>
      </c>
      <c r="I714" s="10">
        <v>0.1026</v>
      </c>
      <c r="J714" s="5">
        <v>208440</v>
      </c>
      <c r="K714" s="5">
        <v>93960</v>
      </c>
      <c r="L714" s="5">
        <v>114480</v>
      </c>
      <c r="M714" s="4">
        <v>0.45</v>
      </c>
      <c r="N714" s="2">
        <v>1</v>
      </c>
      <c r="O714" s="5">
        <v>0</v>
      </c>
      <c r="P714" s="5">
        <v>365</v>
      </c>
      <c r="Q714" s="3">
        <v>46054</v>
      </c>
      <c r="R714" s="6">
        <f t="shared" si="24"/>
        <v>0</v>
      </c>
    </row>
    <row r="715" spans="1:18" x14ac:dyDescent="0.25">
      <c r="A715" s="2" t="s">
        <v>578</v>
      </c>
      <c r="B715" s="2" t="s">
        <v>2153</v>
      </c>
      <c r="C715" s="2" t="s">
        <v>2154</v>
      </c>
      <c r="D715" s="2" t="s">
        <v>2155</v>
      </c>
      <c r="E715" s="3">
        <v>45981</v>
      </c>
      <c r="F715" s="3">
        <v>46346</v>
      </c>
      <c r="G715" s="4">
        <v>0</v>
      </c>
      <c r="H715" s="10">
        <v>0.105</v>
      </c>
      <c r="I715" s="10">
        <v>0.1021</v>
      </c>
      <c r="J715" s="5">
        <v>473300</v>
      </c>
      <c r="K715" s="5">
        <v>373500</v>
      </c>
      <c r="L715" s="5">
        <v>99800</v>
      </c>
      <c r="M715" s="4">
        <v>0.79</v>
      </c>
      <c r="N715" s="2">
        <v>1</v>
      </c>
      <c r="O715" s="5">
        <v>0</v>
      </c>
      <c r="P715" s="5">
        <v>1198</v>
      </c>
      <c r="Q715" s="3">
        <v>46054</v>
      </c>
      <c r="R715" s="6">
        <f t="shared" si="24"/>
        <v>0</v>
      </c>
    </row>
    <row r="716" spans="1:18" x14ac:dyDescent="0.25">
      <c r="A716" s="2" t="s">
        <v>578</v>
      </c>
      <c r="B716" s="2" t="s">
        <v>2156</v>
      </c>
      <c r="C716" s="2" t="s">
        <v>2157</v>
      </c>
      <c r="D716" s="2" t="s">
        <v>2158</v>
      </c>
      <c r="E716" s="3">
        <v>45982</v>
      </c>
      <c r="F716" s="3">
        <v>46347</v>
      </c>
      <c r="G716" s="4">
        <v>0</v>
      </c>
      <c r="H716" s="10">
        <v>0.10249999999999999</v>
      </c>
      <c r="I716" s="10">
        <v>0.1012</v>
      </c>
      <c r="J716" s="5">
        <v>892650</v>
      </c>
      <c r="K716" s="5">
        <v>504000</v>
      </c>
      <c r="L716" s="5">
        <v>388650</v>
      </c>
      <c r="M716" s="4">
        <v>0.56000000000000005</v>
      </c>
      <c r="N716" s="2">
        <v>1</v>
      </c>
      <c r="O716" s="5">
        <v>0</v>
      </c>
      <c r="P716" s="5">
        <v>1435</v>
      </c>
      <c r="Q716" s="3">
        <v>46054</v>
      </c>
      <c r="R716" s="6">
        <f t="shared" si="24"/>
        <v>0</v>
      </c>
    </row>
    <row r="717" spans="1:18" x14ac:dyDescent="0.25">
      <c r="A717" s="2" t="s">
        <v>578</v>
      </c>
      <c r="B717" s="2" t="s">
        <v>2159</v>
      </c>
      <c r="C717" s="2" t="s">
        <v>2160</v>
      </c>
      <c r="D717" s="2" t="s">
        <v>2161</v>
      </c>
      <c r="E717" s="3">
        <v>45982</v>
      </c>
      <c r="F717" s="3">
        <v>46347</v>
      </c>
      <c r="G717" s="4">
        <v>0</v>
      </c>
      <c r="H717" s="10">
        <v>9.5000000000000001E-2</v>
      </c>
      <c r="I717" s="10">
        <v>9.4700000000000006E-2</v>
      </c>
      <c r="J717" s="5">
        <v>499500</v>
      </c>
      <c r="K717" s="5">
        <v>499500</v>
      </c>
      <c r="L717" s="5">
        <v>0</v>
      </c>
      <c r="M717" s="4">
        <v>1</v>
      </c>
      <c r="N717" s="2">
        <v>1</v>
      </c>
      <c r="O717" s="5">
        <v>0</v>
      </c>
      <c r="P717" s="5">
        <v>1318</v>
      </c>
      <c r="Q717" s="3">
        <v>46054</v>
      </c>
      <c r="R717" s="6">
        <f t="shared" si="24"/>
        <v>0</v>
      </c>
    </row>
    <row r="718" spans="1:18" x14ac:dyDescent="0.25">
      <c r="A718" s="2" t="s">
        <v>578</v>
      </c>
      <c r="B718" s="2" t="s">
        <v>2162</v>
      </c>
      <c r="C718" s="2" t="s">
        <v>2163</v>
      </c>
      <c r="D718" s="2" t="s">
        <v>2164</v>
      </c>
      <c r="E718" s="3">
        <v>45982</v>
      </c>
      <c r="F718" s="3">
        <v>46347</v>
      </c>
      <c r="G718" s="4">
        <v>0</v>
      </c>
      <c r="H718" s="10">
        <v>0.1</v>
      </c>
      <c r="I718" s="10">
        <v>9.9000000000000005E-2</v>
      </c>
      <c r="J718" s="5">
        <v>482400</v>
      </c>
      <c r="K718" s="5">
        <v>382500</v>
      </c>
      <c r="L718" s="5">
        <v>99900</v>
      </c>
      <c r="M718" s="4">
        <v>0.79</v>
      </c>
      <c r="N718" s="2">
        <v>1</v>
      </c>
      <c r="O718" s="5">
        <v>0</v>
      </c>
      <c r="P718" s="5">
        <v>1062</v>
      </c>
      <c r="Q718" s="3">
        <v>46054</v>
      </c>
      <c r="R718" s="6">
        <f t="shared" si="24"/>
        <v>0</v>
      </c>
    </row>
    <row r="719" spans="1:18" x14ac:dyDescent="0.25">
      <c r="A719" s="2" t="s">
        <v>578</v>
      </c>
      <c r="B719" s="2" t="s">
        <v>2165</v>
      </c>
      <c r="C719" s="2" t="s">
        <v>2166</v>
      </c>
      <c r="D719" s="2" t="s">
        <v>2167</v>
      </c>
      <c r="E719" s="3">
        <v>45985</v>
      </c>
      <c r="F719" s="3">
        <v>46350</v>
      </c>
      <c r="G719" s="4">
        <v>0</v>
      </c>
      <c r="H719" s="10">
        <v>0.11</v>
      </c>
      <c r="I719" s="10">
        <v>0.1031</v>
      </c>
      <c r="J719" s="5">
        <v>367137</v>
      </c>
      <c r="K719" s="5">
        <v>291600</v>
      </c>
      <c r="L719" s="5">
        <v>75537</v>
      </c>
      <c r="M719" s="4">
        <v>0.79</v>
      </c>
      <c r="N719" s="2">
        <v>1</v>
      </c>
      <c r="O719" s="5">
        <v>0</v>
      </c>
      <c r="P719" s="5">
        <v>624</v>
      </c>
      <c r="Q719" s="3">
        <v>46054</v>
      </c>
      <c r="R719" s="6">
        <f t="shared" si="24"/>
        <v>0</v>
      </c>
    </row>
    <row r="720" spans="1:18" x14ac:dyDescent="0.25">
      <c r="A720" s="2" t="s">
        <v>578</v>
      </c>
      <c r="B720" s="2" t="s">
        <v>2168</v>
      </c>
      <c r="C720" s="2" t="s">
        <v>2169</v>
      </c>
      <c r="D720" s="2" t="s">
        <v>2170</v>
      </c>
      <c r="E720" s="3">
        <v>45985</v>
      </c>
      <c r="F720" s="3">
        <v>46350</v>
      </c>
      <c r="G720" s="4">
        <v>0</v>
      </c>
      <c r="H720" s="10">
        <v>0.105</v>
      </c>
      <c r="I720" s="10">
        <v>0.1021</v>
      </c>
      <c r="J720" s="5">
        <v>537000</v>
      </c>
      <c r="K720" s="5">
        <v>472000</v>
      </c>
      <c r="L720" s="5">
        <v>65000</v>
      </c>
      <c r="M720" s="4">
        <v>0.88</v>
      </c>
      <c r="N720" s="2">
        <v>1</v>
      </c>
      <c r="O720" s="5">
        <v>0</v>
      </c>
      <c r="P720" s="5">
        <v>964</v>
      </c>
      <c r="Q720" s="3">
        <v>46054</v>
      </c>
      <c r="R720" s="6">
        <f t="shared" si="24"/>
        <v>0</v>
      </c>
    </row>
    <row r="721" spans="1:18" x14ac:dyDescent="0.25">
      <c r="A721" s="2" t="s">
        <v>578</v>
      </c>
      <c r="B721" s="2" t="s">
        <v>2171</v>
      </c>
      <c r="C721" s="2" t="s">
        <v>2172</v>
      </c>
      <c r="D721" s="2" t="s">
        <v>2173</v>
      </c>
      <c r="E721" s="3">
        <v>45986</v>
      </c>
      <c r="F721" s="3">
        <v>46532</v>
      </c>
      <c r="G721" s="4">
        <v>0</v>
      </c>
      <c r="H721" s="10">
        <v>9.9900000000000003E-2</v>
      </c>
      <c r="I721" s="10">
        <v>9.9199999999999997E-2</v>
      </c>
      <c r="J721" s="5">
        <v>441000</v>
      </c>
      <c r="K721" s="5">
        <v>441000</v>
      </c>
      <c r="L721" s="5">
        <v>0</v>
      </c>
      <c r="M721" s="4">
        <v>1</v>
      </c>
      <c r="N721" s="2">
        <v>1</v>
      </c>
      <c r="O721" s="5">
        <v>0</v>
      </c>
      <c r="P721" s="5">
        <v>734</v>
      </c>
      <c r="Q721" s="3">
        <v>46054</v>
      </c>
      <c r="R721" s="6">
        <f t="shared" si="24"/>
        <v>0</v>
      </c>
    </row>
    <row r="722" spans="1:18" x14ac:dyDescent="0.25">
      <c r="A722" s="2" t="s">
        <v>578</v>
      </c>
      <c r="B722" s="2" t="s">
        <v>2174</v>
      </c>
      <c r="C722" s="2" t="s">
        <v>2175</v>
      </c>
      <c r="D722" s="2" t="s">
        <v>2176</v>
      </c>
      <c r="E722" s="3">
        <v>45986</v>
      </c>
      <c r="F722" s="3">
        <v>46532</v>
      </c>
      <c r="G722" s="4">
        <v>0</v>
      </c>
      <c r="H722" s="10">
        <v>9.9900000000000003E-2</v>
      </c>
      <c r="I722" s="10">
        <v>9.9199999999999997E-2</v>
      </c>
      <c r="J722" s="5">
        <v>402300</v>
      </c>
      <c r="K722" s="5">
        <v>402300</v>
      </c>
      <c r="L722" s="5">
        <v>0</v>
      </c>
      <c r="M722" s="4">
        <v>1</v>
      </c>
      <c r="N722" s="2">
        <v>1</v>
      </c>
      <c r="O722" s="5">
        <v>0</v>
      </c>
      <c r="P722" s="5">
        <v>670</v>
      </c>
      <c r="Q722" s="3">
        <v>46054</v>
      </c>
      <c r="R722" s="6">
        <f t="shared" si="24"/>
        <v>0</v>
      </c>
    </row>
    <row r="723" spans="1:18" x14ac:dyDescent="0.25">
      <c r="A723" s="2" t="s">
        <v>578</v>
      </c>
      <c r="B723" s="2" t="s">
        <v>2177</v>
      </c>
      <c r="C723" s="2" t="s">
        <v>2178</v>
      </c>
      <c r="D723" s="2" t="s">
        <v>2179</v>
      </c>
      <c r="E723" s="3">
        <v>45987</v>
      </c>
      <c r="F723" s="3">
        <v>46352</v>
      </c>
      <c r="G723" s="4">
        <v>0</v>
      </c>
      <c r="H723" s="10">
        <v>0.11</v>
      </c>
      <c r="I723" s="10">
        <v>0.1031</v>
      </c>
      <c r="J723" s="5">
        <v>136150</v>
      </c>
      <c r="K723" s="5">
        <v>136150</v>
      </c>
      <c r="L723" s="5">
        <v>0</v>
      </c>
      <c r="M723" s="4">
        <v>1</v>
      </c>
      <c r="N723" s="2">
        <v>1</v>
      </c>
      <c r="O723" s="5">
        <v>0</v>
      </c>
      <c r="P723" s="5">
        <v>208</v>
      </c>
      <c r="Q723" s="3">
        <v>46054</v>
      </c>
      <c r="R723" s="6">
        <f t="shared" si="24"/>
        <v>0</v>
      </c>
    </row>
    <row r="724" spans="1:18" x14ac:dyDescent="0.25">
      <c r="A724" s="2" t="s">
        <v>578</v>
      </c>
      <c r="B724" s="2" t="s">
        <v>2180</v>
      </c>
      <c r="C724" s="2" t="s">
        <v>2181</v>
      </c>
      <c r="D724" s="2" t="s">
        <v>2182</v>
      </c>
      <c r="E724" s="3">
        <v>45987</v>
      </c>
      <c r="F724" s="3">
        <v>46352</v>
      </c>
      <c r="G724" s="4">
        <v>0</v>
      </c>
      <c r="H724" s="10">
        <v>0.105</v>
      </c>
      <c r="I724" s="10">
        <v>0.1021</v>
      </c>
      <c r="J724" s="5">
        <v>625451</v>
      </c>
      <c r="K724" s="5">
        <v>293303</v>
      </c>
      <c r="L724" s="5">
        <v>332148</v>
      </c>
      <c r="M724" s="4">
        <v>0.47</v>
      </c>
      <c r="N724" s="2">
        <v>2</v>
      </c>
      <c r="O724" s="5">
        <v>0</v>
      </c>
      <c r="P724" s="5">
        <v>401</v>
      </c>
      <c r="Q724" s="3">
        <v>46054</v>
      </c>
      <c r="R724" s="6">
        <f t="shared" si="24"/>
        <v>0</v>
      </c>
    </row>
    <row r="725" spans="1:18" x14ac:dyDescent="0.25">
      <c r="A725" s="2" t="s">
        <v>578</v>
      </c>
      <c r="B725" s="2" t="s">
        <v>2183</v>
      </c>
      <c r="C725" s="2" t="s">
        <v>2184</v>
      </c>
      <c r="D725" s="2" t="s">
        <v>2185</v>
      </c>
      <c r="E725" s="3">
        <v>45987</v>
      </c>
      <c r="F725" s="3">
        <v>46352</v>
      </c>
      <c r="G725" s="4">
        <v>0</v>
      </c>
      <c r="H725" s="10">
        <v>0.1075</v>
      </c>
      <c r="I725" s="10">
        <v>0.1026</v>
      </c>
      <c r="J725" s="5">
        <v>567700</v>
      </c>
      <c r="K725" s="5">
        <v>423000</v>
      </c>
      <c r="L725" s="5">
        <v>144700</v>
      </c>
      <c r="M725" s="4">
        <v>0.75</v>
      </c>
      <c r="N725" s="2">
        <v>1</v>
      </c>
      <c r="O725" s="5">
        <v>0</v>
      </c>
      <c r="P725" s="5">
        <v>632</v>
      </c>
      <c r="Q725" s="3">
        <v>46054</v>
      </c>
      <c r="R725" s="6">
        <f t="shared" si="24"/>
        <v>0</v>
      </c>
    </row>
    <row r="726" spans="1:18" x14ac:dyDescent="0.25">
      <c r="A726" s="2" t="s">
        <v>578</v>
      </c>
      <c r="B726" s="2" t="s">
        <v>2186</v>
      </c>
      <c r="C726" s="2" t="s">
        <v>2187</v>
      </c>
      <c r="D726" s="2" t="s">
        <v>2188</v>
      </c>
      <c r="E726" s="3">
        <v>45987</v>
      </c>
      <c r="F726" s="3">
        <v>46533</v>
      </c>
      <c r="G726" s="4">
        <v>0</v>
      </c>
      <c r="H726" s="10">
        <v>0.115</v>
      </c>
      <c r="I726" s="10">
        <v>0.1147</v>
      </c>
      <c r="J726" s="5">
        <v>275056</v>
      </c>
      <c r="K726" s="5">
        <v>55676</v>
      </c>
      <c r="L726" s="5">
        <v>219380</v>
      </c>
      <c r="M726" s="4">
        <v>0.2</v>
      </c>
      <c r="N726" s="2">
        <v>2</v>
      </c>
      <c r="O726" s="5">
        <v>0</v>
      </c>
      <c r="P726" s="5">
        <v>16</v>
      </c>
      <c r="Q726" s="3">
        <v>46054</v>
      </c>
      <c r="R726" s="6">
        <f t="shared" si="24"/>
        <v>0</v>
      </c>
    </row>
    <row r="727" spans="1:18" x14ac:dyDescent="0.25">
      <c r="A727" s="2" t="s">
        <v>578</v>
      </c>
      <c r="B727" s="2" t="s">
        <v>2189</v>
      </c>
      <c r="C727" s="2" t="s">
        <v>2190</v>
      </c>
      <c r="D727" s="2" t="s">
        <v>2191</v>
      </c>
      <c r="E727" s="3">
        <v>45992</v>
      </c>
      <c r="F727" s="3">
        <v>46357</v>
      </c>
      <c r="G727" s="4">
        <v>0</v>
      </c>
      <c r="H727" s="10">
        <v>0.10249999999999999</v>
      </c>
      <c r="I727" s="10">
        <v>0.1012</v>
      </c>
      <c r="J727" s="5">
        <v>370900</v>
      </c>
      <c r="K727" s="5">
        <v>315900</v>
      </c>
      <c r="L727" s="5">
        <v>55000</v>
      </c>
      <c r="M727" s="4">
        <v>0.85</v>
      </c>
      <c r="N727" s="2">
        <v>1</v>
      </c>
      <c r="O727" s="5">
        <v>0</v>
      </c>
      <c r="P727" s="5">
        <v>0</v>
      </c>
      <c r="Q727" s="3">
        <v>46143</v>
      </c>
      <c r="R727" s="6">
        <f t="shared" si="24"/>
        <v>0</v>
      </c>
    </row>
    <row r="728" spans="1:18" x14ac:dyDescent="0.25">
      <c r="A728" s="2" t="s">
        <v>578</v>
      </c>
      <c r="B728" s="2" t="s">
        <v>2192</v>
      </c>
      <c r="C728" s="2" t="s">
        <v>2193</v>
      </c>
      <c r="D728" s="2" t="s">
        <v>2194</v>
      </c>
      <c r="E728" s="3">
        <v>45993</v>
      </c>
      <c r="F728" s="3">
        <v>46358</v>
      </c>
      <c r="G728" s="4">
        <v>0</v>
      </c>
      <c r="H728" s="10">
        <v>0.11940000000000001</v>
      </c>
      <c r="I728" s="10">
        <v>0.1182</v>
      </c>
      <c r="J728" s="5">
        <v>263200</v>
      </c>
      <c r="K728" s="5">
        <v>22800</v>
      </c>
      <c r="L728" s="5">
        <v>240400</v>
      </c>
      <c r="M728" s="4">
        <v>0.09</v>
      </c>
      <c r="N728" s="2">
        <v>1</v>
      </c>
      <c r="O728" s="5">
        <v>0</v>
      </c>
      <c r="P728" s="5">
        <v>0</v>
      </c>
      <c r="Q728" s="3">
        <v>46082</v>
      </c>
      <c r="R728" s="6">
        <f t="shared" si="24"/>
        <v>0</v>
      </c>
    </row>
    <row r="729" spans="1:18" x14ac:dyDescent="0.25">
      <c r="A729" s="2" t="s">
        <v>578</v>
      </c>
      <c r="B729" s="2" t="s">
        <v>2195</v>
      </c>
      <c r="C729" s="2" t="s">
        <v>2196</v>
      </c>
      <c r="D729" s="2" t="s">
        <v>2197</v>
      </c>
      <c r="E729" s="3">
        <v>45995</v>
      </c>
      <c r="F729" s="3">
        <v>46360</v>
      </c>
      <c r="G729" s="4">
        <v>0</v>
      </c>
      <c r="H729" s="10">
        <v>0.1075</v>
      </c>
      <c r="I729" s="10">
        <v>0.1026</v>
      </c>
      <c r="J729" s="5">
        <v>743475</v>
      </c>
      <c r="K729" s="5">
        <v>391000</v>
      </c>
      <c r="L729" s="5">
        <v>352475</v>
      </c>
      <c r="M729" s="4">
        <v>0.53</v>
      </c>
      <c r="N729" s="2">
        <v>1</v>
      </c>
      <c r="O729" s="5">
        <v>0</v>
      </c>
      <c r="P729" s="5">
        <v>0</v>
      </c>
      <c r="Q729" s="3">
        <v>46082</v>
      </c>
      <c r="R729" s="6">
        <f t="shared" si="24"/>
        <v>0</v>
      </c>
    </row>
    <row r="730" spans="1:18" x14ac:dyDescent="0.25">
      <c r="A730" s="2" t="s">
        <v>578</v>
      </c>
      <c r="B730" s="2" t="s">
        <v>2198</v>
      </c>
      <c r="C730" s="2" t="s">
        <v>2199</v>
      </c>
      <c r="D730" s="2" t="s">
        <v>2200</v>
      </c>
      <c r="E730" s="3">
        <v>45996</v>
      </c>
      <c r="F730" s="3">
        <v>46361</v>
      </c>
      <c r="G730" s="4">
        <v>0</v>
      </c>
      <c r="H730" s="10">
        <v>0.105</v>
      </c>
      <c r="I730" s="10">
        <v>0.1021</v>
      </c>
      <c r="J730" s="5">
        <v>283800</v>
      </c>
      <c r="K730" s="5">
        <v>283800</v>
      </c>
      <c r="L730" s="5">
        <v>0</v>
      </c>
      <c r="M730" s="4">
        <v>1</v>
      </c>
      <c r="N730" s="2">
        <v>1</v>
      </c>
      <c r="O730" s="5">
        <v>0</v>
      </c>
      <c r="P730" s="5">
        <v>0</v>
      </c>
      <c r="Q730" s="3">
        <v>46174</v>
      </c>
      <c r="R730" s="6">
        <f t="shared" si="24"/>
        <v>0</v>
      </c>
    </row>
    <row r="731" spans="1:18" x14ac:dyDescent="0.25">
      <c r="A731" s="2" t="s">
        <v>578</v>
      </c>
      <c r="B731" s="2" t="s">
        <v>2201</v>
      </c>
      <c r="C731" s="2" t="s">
        <v>2202</v>
      </c>
      <c r="D731" s="2" t="s">
        <v>2203</v>
      </c>
      <c r="E731" s="3">
        <v>45999</v>
      </c>
      <c r="F731" s="3">
        <v>46364</v>
      </c>
      <c r="G731" s="4">
        <v>0</v>
      </c>
      <c r="H731" s="10">
        <v>0.1075</v>
      </c>
      <c r="I731" s="10">
        <v>0.1026</v>
      </c>
      <c r="J731" s="5">
        <v>171250</v>
      </c>
      <c r="K731" s="5">
        <v>106250</v>
      </c>
      <c r="L731" s="5">
        <v>65000</v>
      </c>
      <c r="M731" s="4">
        <v>0.62</v>
      </c>
      <c r="N731" s="2">
        <v>1</v>
      </c>
      <c r="O731" s="5">
        <v>0</v>
      </c>
      <c r="P731" s="5">
        <v>0</v>
      </c>
      <c r="Q731" s="3">
        <v>46082</v>
      </c>
      <c r="R731" s="6">
        <f t="shared" si="24"/>
        <v>0</v>
      </c>
    </row>
    <row r="732" spans="1:18" x14ac:dyDescent="0.25">
      <c r="A732" s="2" t="s">
        <v>578</v>
      </c>
      <c r="B732" s="2" t="s">
        <v>2204</v>
      </c>
      <c r="C732" s="2" t="s">
        <v>2205</v>
      </c>
      <c r="D732" s="2" t="s">
        <v>2206</v>
      </c>
      <c r="E732" s="3">
        <v>46001</v>
      </c>
      <c r="F732" s="3">
        <v>46366</v>
      </c>
      <c r="G732" s="4">
        <v>0</v>
      </c>
      <c r="H732" s="10">
        <v>0.1125</v>
      </c>
      <c r="I732" s="10">
        <v>0.1036</v>
      </c>
      <c r="J732" s="5">
        <v>650000</v>
      </c>
      <c r="K732" s="5">
        <v>330000</v>
      </c>
      <c r="L732" s="5">
        <v>320000</v>
      </c>
      <c r="M732" s="4">
        <v>0.51</v>
      </c>
      <c r="N732" s="2">
        <v>1</v>
      </c>
      <c r="O732" s="5">
        <v>0</v>
      </c>
      <c r="P732" s="5">
        <v>0</v>
      </c>
      <c r="Q732" s="3">
        <v>46082</v>
      </c>
      <c r="R732" s="6">
        <f t="shared" si="24"/>
        <v>0</v>
      </c>
    </row>
    <row r="733" spans="1:18" x14ac:dyDescent="0.25">
      <c r="A733" s="2" t="s">
        <v>578</v>
      </c>
      <c r="B733" s="2" t="s">
        <v>2207</v>
      </c>
      <c r="C733" s="2" t="s">
        <v>2208</v>
      </c>
      <c r="D733" s="2" t="s">
        <v>2209</v>
      </c>
      <c r="E733" s="3">
        <v>46001</v>
      </c>
      <c r="F733" s="3">
        <v>46366</v>
      </c>
      <c r="G733" s="4">
        <v>0</v>
      </c>
      <c r="H733" s="10">
        <v>9.7500000000000003E-2</v>
      </c>
      <c r="I733" s="10">
        <v>9.7000000000000003E-2</v>
      </c>
      <c r="J733" s="5">
        <v>387900</v>
      </c>
      <c r="K733" s="5">
        <v>387900</v>
      </c>
      <c r="L733" s="5">
        <v>0</v>
      </c>
      <c r="M733" s="4">
        <v>1</v>
      </c>
      <c r="N733" s="2">
        <v>1</v>
      </c>
      <c r="O733" s="5">
        <v>0</v>
      </c>
      <c r="P733" s="5">
        <v>0</v>
      </c>
      <c r="Q733" s="3">
        <v>46082</v>
      </c>
      <c r="R733" s="6">
        <f t="shared" si="24"/>
        <v>0</v>
      </c>
    </row>
    <row r="734" spans="1:18" x14ac:dyDescent="0.25">
      <c r="A734" s="2" t="s">
        <v>578</v>
      </c>
      <c r="B734" s="2" t="s">
        <v>2210</v>
      </c>
      <c r="C734" s="2" t="s">
        <v>2211</v>
      </c>
      <c r="D734" s="2" t="s">
        <v>2212</v>
      </c>
      <c r="E734" s="3">
        <v>46001</v>
      </c>
      <c r="F734" s="3">
        <v>46366</v>
      </c>
      <c r="G734" s="4">
        <v>0</v>
      </c>
      <c r="H734" s="10">
        <v>0.10249999999999999</v>
      </c>
      <c r="I734" s="10">
        <v>0.1012</v>
      </c>
      <c r="J734" s="5">
        <v>546000</v>
      </c>
      <c r="K734" s="5">
        <v>531000</v>
      </c>
      <c r="L734" s="5">
        <v>15000</v>
      </c>
      <c r="M734" s="4">
        <v>0.97</v>
      </c>
      <c r="N734" s="2">
        <v>1</v>
      </c>
      <c r="O734" s="5">
        <v>0</v>
      </c>
      <c r="P734" s="5">
        <v>0</v>
      </c>
      <c r="Q734" s="3">
        <v>46082</v>
      </c>
      <c r="R734" s="6">
        <f t="shared" si="24"/>
        <v>0</v>
      </c>
    </row>
    <row r="735" spans="1:18" x14ac:dyDescent="0.25">
      <c r="A735" s="2" t="s">
        <v>578</v>
      </c>
      <c r="B735" s="2" t="s">
        <v>2213</v>
      </c>
      <c r="C735" s="2" t="s">
        <v>2214</v>
      </c>
      <c r="D735" s="2" t="s">
        <v>2215</v>
      </c>
      <c r="E735" s="3">
        <v>46001</v>
      </c>
      <c r="F735" s="3">
        <v>46366</v>
      </c>
      <c r="G735" s="4">
        <v>0</v>
      </c>
      <c r="H735" s="10">
        <v>0.1099</v>
      </c>
      <c r="I735" s="10">
        <v>0.1031</v>
      </c>
      <c r="J735" s="5">
        <v>292415</v>
      </c>
      <c r="K735" s="5">
        <v>245650</v>
      </c>
      <c r="L735" s="5">
        <v>46765</v>
      </c>
      <c r="M735" s="4">
        <v>0.84</v>
      </c>
      <c r="N735" s="2">
        <v>1</v>
      </c>
      <c r="O735" s="5">
        <v>0</v>
      </c>
      <c r="P735" s="5">
        <v>0</v>
      </c>
      <c r="Q735" s="3">
        <v>46082</v>
      </c>
      <c r="R735" s="6">
        <f t="shared" si="24"/>
        <v>0</v>
      </c>
    </row>
    <row r="736" spans="1:18" x14ac:dyDescent="0.25">
      <c r="A736" s="2" t="s">
        <v>578</v>
      </c>
      <c r="B736" s="2" t="s">
        <v>2216</v>
      </c>
      <c r="C736" s="2" t="s">
        <v>2217</v>
      </c>
      <c r="D736" s="2" t="s">
        <v>2218</v>
      </c>
      <c r="E736" s="3">
        <v>46002</v>
      </c>
      <c r="F736" s="3">
        <v>46367</v>
      </c>
      <c r="G736" s="4">
        <v>0</v>
      </c>
      <c r="H736" s="10">
        <v>0.1099</v>
      </c>
      <c r="I736" s="10">
        <v>0.1031</v>
      </c>
      <c r="J736" s="5">
        <v>220000</v>
      </c>
      <c r="K736" s="5">
        <v>120000</v>
      </c>
      <c r="L736" s="5">
        <v>100000</v>
      </c>
      <c r="M736" s="4">
        <v>0.55000000000000004</v>
      </c>
      <c r="N736" s="2">
        <v>1</v>
      </c>
      <c r="O736" s="5">
        <v>0</v>
      </c>
      <c r="P736" s="5">
        <v>0</v>
      </c>
      <c r="Q736" s="3">
        <v>46082</v>
      </c>
      <c r="R736" s="6">
        <f t="shared" si="24"/>
        <v>0</v>
      </c>
    </row>
    <row r="737" spans="1:18" x14ac:dyDescent="0.25">
      <c r="A737" s="2" t="s">
        <v>578</v>
      </c>
      <c r="B737" s="2" t="s">
        <v>2219</v>
      </c>
      <c r="C737" s="2" t="s">
        <v>2220</v>
      </c>
      <c r="D737" s="2" t="s">
        <v>2221</v>
      </c>
      <c r="E737" s="3">
        <v>46002</v>
      </c>
      <c r="F737" s="3">
        <v>46367</v>
      </c>
      <c r="G737" s="4">
        <v>0</v>
      </c>
      <c r="H737" s="10">
        <v>0.11</v>
      </c>
      <c r="I737" s="10">
        <v>0.1031</v>
      </c>
      <c r="J737" s="5">
        <v>948675</v>
      </c>
      <c r="K737" s="5">
        <v>787162</v>
      </c>
      <c r="L737" s="5">
        <v>161513</v>
      </c>
      <c r="M737" s="4">
        <v>0.83</v>
      </c>
      <c r="N737" s="2">
        <v>2</v>
      </c>
      <c r="O737" s="5">
        <v>0</v>
      </c>
      <c r="P737" s="5">
        <v>0</v>
      </c>
      <c r="Q737" s="3">
        <v>46082</v>
      </c>
      <c r="R737" s="6">
        <f t="shared" si="24"/>
        <v>0</v>
      </c>
    </row>
    <row r="738" spans="1:18" x14ac:dyDescent="0.25">
      <c r="A738" s="2" t="s">
        <v>578</v>
      </c>
      <c r="B738" s="2" t="s">
        <v>2222</v>
      </c>
      <c r="C738" s="2" t="s">
        <v>2223</v>
      </c>
      <c r="D738" s="2" t="s">
        <v>2224</v>
      </c>
      <c r="E738" s="3">
        <v>46003</v>
      </c>
      <c r="F738" s="3">
        <v>46368</v>
      </c>
      <c r="G738" s="4">
        <v>0</v>
      </c>
      <c r="H738" s="10">
        <v>9.7500000000000003E-2</v>
      </c>
      <c r="I738" s="10">
        <v>9.7000000000000003E-2</v>
      </c>
      <c r="J738" s="5">
        <v>495000</v>
      </c>
      <c r="K738" s="5">
        <v>495000</v>
      </c>
      <c r="L738" s="5">
        <v>0</v>
      </c>
      <c r="M738" s="4">
        <v>1</v>
      </c>
      <c r="N738" s="2">
        <v>1</v>
      </c>
      <c r="O738" s="5">
        <v>0</v>
      </c>
      <c r="P738" s="5">
        <v>0</v>
      </c>
      <c r="Q738" s="3">
        <v>46082</v>
      </c>
      <c r="R738" s="6">
        <f t="shared" si="24"/>
        <v>0</v>
      </c>
    </row>
    <row r="739" spans="1:18" x14ac:dyDescent="0.25">
      <c r="A739" s="2" t="s">
        <v>578</v>
      </c>
      <c r="B739" s="2" t="s">
        <v>2225</v>
      </c>
      <c r="C739" s="2" t="s">
        <v>2226</v>
      </c>
      <c r="D739" s="2" t="s">
        <v>2227</v>
      </c>
      <c r="E739" s="3">
        <v>46006</v>
      </c>
      <c r="F739" s="3">
        <v>46371</v>
      </c>
      <c r="G739" s="4">
        <v>0</v>
      </c>
      <c r="H739" s="10">
        <v>0.115</v>
      </c>
      <c r="I739" s="10">
        <v>0.114</v>
      </c>
      <c r="J739" s="5">
        <v>348457</v>
      </c>
      <c r="K739" s="5">
        <v>30000</v>
      </c>
      <c r="L739" s="5">
        <v>318457</v>
      </c>
      <c r="M739" s="4">
        <v>0.09</v>
      </c>
      <c r="N739" s="2">
        <v>1</v>
      </c>
      <c r="O739" s="5">
        <v>0</v>
      </c>
      <c r="P739" s="5">
        <v>0</v>
      </c>
      <c r="Q739" s="3">
        <v>46082</v>
      </c>
      <c r="R739" s="6">
        <f t="shared" si="24"/>
        <v>0</v>
      </c>
    </row>
    <row r="740" spans="1:18" x14ac:dyDescent="0.25">
      <c r="A740" s="2" t="s">
        <v>578</v>
      </c>
      <c r="B740" s="2" t="s">
        <v>2228</v>
      </c>
      <c r="C740" s="2" t="s">
        <v>2229</v>
      </c>
      <c r="D740" s="2" t="s">
        <v>2230</v>
      </c>
      <c r="E740" s="3">
        <v>46006</v>
      </c>
      <c r="F740" s="3">
        <v>46371</v>
      </c>
      <c r="G740" s="4">
        <v>0</v>
      </c>
      <c r="H740" s="10">
        <v>0.105</v>
      </c>
      <c r="I740" s="10">
        <v>0.1021</v>
      </c>
      <c r="J740" s="5">
        <v>527100</v>
      </c>
      <c r="K740" s="5">
        <v>513000</v>
      </c>
      <c r="L740" s="5">
        <v>14100</v>
      </c>
      <c r="M740" s="4">
        <v>0.97</v>
      </c>
      <c r="N740" s="2">
        <v>1</v>
      </c>
      <c r="O740" s="5">
        <v>0</v>
      </c>
      <c r="P740" s="5">
        <v>0</v>
      </c>
      <c r="Q740" s="3">
        <v>46143</v>
      </c>
      <c r="R740" s="6">
        <f t="shared" si="24"/>
        <v>0</v>
      </c>
    </row>
    <row r="741" spans="1:18" x14ac:dyDescent="0.25">
      <c r="A741" s="2" t="s">
        <v>578</v>
      </c>
      <c r="B741" s="2" t="s">
        <v>2231</v>
      </c>
      <c r="C741" s="2" t="s">
        <v>2232</v>
      </c>
      <c r="D741" s="2" t="s">
        <v>2233</v>
      </c>
      <c r="E741" s="3">
        <v>46007</v>
      </c>
      <c r="F741" s="3">
        <v>46462</v>
      </c>
      <c r="G741" s="4">
        <v>0</v>
      </c>
      <c r="H741" s="10">
        <v>9.9900000000000003E-2</v>
      </c>
      <c r="I741" s="10">
        <v>9.9199999999999997E-2</v>
      </c>
      <c r="J741" s="5">
        <v>774000</v>
      </c>
      <c r="K741" s="5">
        <v>425000</v>
      </c>
      <c r="L741" s="5">
        <v>349000</v>
      </c>
      <c r="M741" s="4">
        <v>0.55000000000000004</v>
      </c>
      <c r="N741" s="2">
        <v>1</v>
      </c>
      <c r="O741" s="5">
        <v>0</v>
      </c>
      <c r="P741" s="5">
        <v>0</v>
      </c>
      <c r="Q741" s="3">
        <v>46082</v>
      </c>
      <c r="R741" s="6">
        <f t="shared" si="24"/>
        <v>0</v>
      </c>
    </row>
    <row r="742" spans="1:18" x14ac:dyDescent="0.25">
      <c r="A742" s="2" t="s">
        <v>578</v>
      </c>
      <c r="B742" s="2" t="s">
        <v>2234</v>
      </c>
      <c r="C742" s="2" t="s">
        <v>2235</v>
      </c>
      <c r="D742" s="2" t="s">
        <v>2236</v>
      </c>
      <c r="E742" s="3">
        <v>46007</v>
      </c>
      <c r="F742" s="3">
        <v>46372</v>
      </c>
      <c r="G742" s="4">
        <v>0</v>
      </c>
      <c r="H742" s="10">
        <v>0.1075</v>
      </c>
      <c r="I742" s="10">
        <v>0.1026</v>
      </c>
      <c r="J742" s="5">
        <v>1841503</v>
      </c>
      <c r="K742" s="5">
        <v>604360</v>
      </c>
      <c r="L742" s="5">
        <v>1237143</v>
      </c>
      <c r="M742" s="4">
        <v>0.33</v>
      </c>
      <c r="N742" s="2">
        <v>1</v>
      </c>
      <c r="O742" s="5">
        <v>0</v>
      </c>
      <c r="P742" s="5">
        <v>0</v>
      </c>
      <c r="Q742" s="3">
        <v>46082</v>
      </c>
      <c r="R742" s="6">
        <f t="shared" si="24"/>
        <v>0</v>
      </c>
    </row>
    <row r="743" spans="1:18" x14ac:dyDescent="0.25">
      <c r="A743" s="2" t="s">
        <v>578</v>
      </c>
      <c r="B743" s="2" t="s">
        <v>2237</v>
      </c>
      <c r="C743" s="2" t="s">
        <v>2238</v>
      </c>
      <c r="D743" s="2" t="s">
        <v>2239</v>
      </c>
      <c r="E743" s="3">
        <v>46007</v>
      </c>
      <c r="F743" s="3">
        <v>46372</v>
      </c>
      <c r="G743" s="4">
        <v>0</v>
      </c>
      <c r="H743" s="10">
        <v>0.1075</v>
      </c>
      <c r="I743" s="10">
        <v>0.1026</v>
      </c>
      <c r="J743" s="5">
        <v>383400</v>
      </c>
      <c r="K743" s="5">
        <v>283500</v>
      </c>
      <c r="L743" s="5">
        <v>99900</v>
      </c>
      <c r="M743" s="4">
        <v>0.74</v>
      </c>
      <c r="N743" s="2">
        <v>1</v>
      </c>
      <c r="O743" s="5">
        <v>0</v>
      </c>
      <c r="P743" s="5">
        <v>0</v>
      </c>
      <c r="Q743" s="3">
        <v>46082</v>
      </c>
      <c r="R743" s="6">
        <f t="shared" si="24"/>
        <v>0</v>
      </c>
    </row>
    <row r="744" spans="1:18" x14ac:dyDescent="0.25">
      <c r="A744" s="2" t="s">
        <v>578</v>
      </c>
      <c r="B744" s="2" t="s">
        <v>2240</v>
      </c>
      <c r="C744" s="2" t="s">
        <v>2241</v>
      </c>
      <c r="D744" s="2" t="s">
        <v>2242</v>
      </c>
      <c r="E744" s="3">
        <v>46008</v>
      </c>
      <c r="F744" s="3">
        <v>46373</v>
      </c>
      <c r="G744" s="4">
        <v>0</v>
      </c>
      <c r="H744" s="10">
        <v>9.7500000000000003E-2</v>
      </c>
      <c r="I744" s="10">
        <v>9.7000000000000003E-2</v>
      </c>
      <c r="J744" s="5">
        <v>382500</v>
      </c>
      <c r="K744" s="5">
        <v>382500</v>
      </c>
      <c r="L744" s="5">
        <v>0</v>
      </c>
      <c r="M744" s="4">
        <v>1</v>
      </c>
      <c r="N744" s="2">
        <v>1</v>
      </c>
      <c r="O744" s="5">
        <v>0</v>
      </c>
      <c r="P744" s="5">
        <v>0</v>
      </c>
      <c r="Q744" s="3">
        <v>46082</v>
      </c>
      <c r="R744" s="6">
        <f t="shared" si="24"/>
        <v>0</v>
      </c>
    </row>
    <row r="745" spans="1:18" x14ac:dyDescent="0.25">
      <c r="A745" s="2" t="s">
        <v>578</v>
      </c>
      <c r="B745" s="2" t="s">
        <v>2243</v>
      </c>
      <c r="C745" s="2" t="s">
        <v>2244</v>
      </c>
      <c r="D745" s="2" t="s">
        <v>2245</v>
      </c>
      <c r="E745" s="3">
        <v>46008</v>
      </c>
      <c r="F745" s="3">
        <v>46373</v>
      </c>
      <c r="G745" s="4">
        <v>0</v>
      </c>
      <c r="H745" s="10">
        <v>0.1085</v>
      </c>
      <c r="I745" s="10">
        <v>0.1067</v>
      </c>
      <c r="J745" s="5">
        <v>746583</v>
      </c>
      <c r="K745" s="5">
        <v>540000</v>
      </c>
      <c r="L745" s="5">
        <v>206583</v>
      </c>
      <c r="M745" s="4">
        <v>0.72</v>
      </c>
      <c r="N745" s="2">
        <v>1</v>
      </c>
      <c r="O745" s="5">
        <v>0</v>
      </c>
      <c r="P745" s="5">
        <v>0</v>
      </c>
      <c r="Q745" s="3">
        <v>46082</v>
      </c>
      <c r="R745" s="6">
        <f t="shared" si="24"/>
        <v>0</v>
      </c>
    </row>
    <row r="746" spans="1:18" x14ac:dyDescent="0.25">
      <c r="A746" s="2" t="s">
        <v>578</v>
      </c>
      <c r="B746" s="2" t="s">
        <v>2246</v>
      </c>
      <c r="C746" s="2" t="s">
        <v>2247</v>
      </c>
      <c r="D746" s="2" t="s">
        <v>2248</v>
      </c>
      <c r="E746" s="3">
        <v>46008</v>
      </c>
      <c r="F746" s="3">
        <v>46373</v>
      </c>
      <c r="G746" s="4">
        <v>0</v>
      </c>
      <c r="H746" s="10">
        <v>0.1024</v>
      </c>
      <c r="I746" s="10">
        <v>0.1012</v>
      </c>
      <c r="J746" s="5">
        <v>726960</v>
      </c>
      <c r="K746" s="5">
        <v>585000</v>
      </c>
      <c r="L746" s="5">
        <v>141960</v>
      </c>
      <c r="M746" s="4">
        <v>0.8</v>
      </c>
      <c r="N746" s="2">
        <v>1</v>
      </c>
      <c r="O746" s="5">
        <v>0</v>
      </c>
      <c r="P746" s="5">
        <v>0</v>
      </c>
      <c r="Q746" s="3">
        <v>46082</v>
      </c>
      <c r="R746" s="6">
        <f t="shared" si="24"/>
        <v>0</v>
      </c>
    </row>
    <row r="747" spans="1:18" x14ac:dyDescent="0.25">
      <c r="A747" s="2" t="s">
        <v>578</v>
      </c>
      <c r="B747" s="2" t="s">
        <v>2249</v>
      </c>
      <c r="C747" s="2" t="s">
        <v>2250</v>
      </c>
      <c r="D747" s="2" t="s">
        <v>2251</v>
      </c>
      <c r="E747" s="3">
        <v>46013</v>
      </c>
      <c r="F747" s="3">
        <v>46560</v>
      </c>
      <c r="G747" s="4">
        <v>0</v>
      </c>
      <c r="H747" s="10">
        <v>0.105</v>
      </c>
      <c r="I747" s="10">
        <v>0.105</v>
      </c>
      <c r="J747" s="5">
        <v>617800</v>
      </c>
      <c r="K747" s="5">
        <v>216000</v>
      </c>
      <c r="L747" s="5">
        <v>401800</v>
      </c>
      <c r="M747" s="4">
        <v>0.35</v>
      </c>
      <c r="N747" s="2">
        <v>1</v>
      </c>
      <c r="O747" s="5"/>
      <c r="P747" s="5"/>
      <c r="Q747" s="3"/>
      <c r="R747" s="6">
        <f t="shared" si="24"/>
        <v>0</v>
      </c>
    </row>
    <row r="748" spans="1:18" x14ac:dyDescent="0.25">
      <c r="A748" s="7"/>
      <c r="B748" s="7"/>
      <c r="C748" s="7"/>
      <c r="D748" s="8" t="s">
        <v>2252</v>
      </c>
      <c r="E748" s="7"/>
      <c r="F748" s="7"/>
      <c r="G748" s="7"/>
      <c r="H748" s="11"/>
      <c r="I748" s="11"/>
      <c r="J748" s="6">
        <f>SUM(J2:J747)</f>
        <v>368362796</v>
      </c>
      <c r="K748" s="6">
        <f>SUM(K2:K747)</f>
        <v>311431064</v>
      </c>
      <c r="L748" s="6">
        <f>SUM(L2:L747)</f>
        <v>56931731</v>
      </c>
      <c r="M748" s="7"/>
      <c r="N748" s="7"/>
      <c r="O748" s="6">
        <f>SUM(O2:O747)</f>
        <v>3264142</v>
      </c>
      <c r="P748" s="6">
        <f>SUM(P2:P747)</f>
        <v>2515556</v>
      </c>
      <c r="Q748" s="7"/>
      <c r="R748" s="6">
        <f>SUM(R2:R747)</f>
        <v>11435664.500000002</v>
      </c>
    </row>
  </sheetData>
  <autoFilter ref="A1:R747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cce2ca-e409-4f56-9f1d-1a826e012dac">
      <Terms xmlns="http://schemas.microsoft.com/office/infopath/2007/PartnerControls"/>
    </lcf76f155ced4ddcb4097134ff3c332f>
    <TaxCatchAll xmlns="5c9048c2-4503-48b6-ab03-d125edf8e7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49E2C04762A4A80B2427AF7D20F10" ma:contentTypeVersion="12" ma:contentTypeDescription="Create a new document." ma:contentTypeScope="" ma:versionID="76e57f98165ffa4f6ed5173a9cac4dd7">
  <xsd:schema xmlns:xsd="http://www.w3.org/2001/XMLSchema" xmlns:xs="http://www.w3.org/2001/XMLSchema" xmlns:p="http://schemas.microsoft.com/office/2006/metadata/properties" xmlns:ns2="c9cce2ca-e409-4f56-9f1d-1a826e012dac" xmlns:ns3="5c9048c2-4503-48b6-ab03-d125edf8e74e" targetNamespace="http://schemas.microsoft.com/office/2006/metadata/properties" ma:root="true" ma:fieldsID="a8c75534425147ee233c73f129a8503c" ns2:_="" ns3:_="">
    <xsd:import namespace="c9cce2ca-e409-4f56-9f1d-1a826e012dac"/>
    <xsd:import namespace="5c9048c2-4503-48b6-ab03-d125edf8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ce2ca-e409-4f56-9f1d-1a826e012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48e4be-c5f5-4600-add7-1322e92d6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048c2-4503-48b6-ab03-d125edf8e7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b3d6d3-79ec-4afe-9df6-4e835d4da87c}" ma:internalName="TaxCatchAll" ma:showField="CatchAllData" ma:web="5c9048c2-4503-48b6-ab03-d125edf8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EDA1A2-6778-4D47-959B-1B97C59C11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27CBE1-D66C-41FB-94FD-F9C7544CA64E}">
  <ds:schemaRefs>
    <ds:schemaRef ds:uri="http://schemas.microsoft.com/office/2006/metadata/properties"/>
    <ds:schemaRef ds:uri="http://schemas.microsoft.com/office/infopath/2007/PartnerControls"/>
    <ds:schemaRef ds:uri="c9cce2ca-e409-4f56-9f1d-1a826e012dac"/>
    <ds:schemaRef ds:uri="5c9048c2-4503-48b6-ab03-d125edf8e74e"/>
  </ds:schemaRefs>
</ds:datastoreItem>
</file>

<file path=customXml/itemProps3.xml><?xml version="1.0" encoding="utf-8"?>
<ds:datastoreItem xmlns:ds="http://schemas.openxmlformats.org/officeDocument/2006/customXml" ds:itemID="{E594FC0C-4BEB-46EF-B06A-98A211A6A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cce2ca-e409-4f56-9f1d-1a826e012dac"/>
    <ds:schemaRef ds:uri="5c9048c2-4503-48b6-ab03-d125edf8e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 Wisniewski</cp:lastModifiedBy>
  <cp:revision>0</cp:revision>
  <dcterms:created xsi:type="dcterms:W3CDTF">2026-09-18T18:36:49Z</dcterms:created>
  <dcterms:modified xsi:type="dcterms:W3CDTF">2026-10-10T15:43:29Z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0x01010002349E2C04762A4A80B2427AF7D20F10</vt:lpwstr>
  </property>
  <property fmtid="{D5CDD505-2E9C-101B-9397-08002B2CF9AE}" pid="3" name="MediaServiceImageTags">
    <vt:lpwstr/>
  </property>
</Properties>
</file>